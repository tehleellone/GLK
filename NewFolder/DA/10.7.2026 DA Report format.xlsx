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v8uh\Desktop\dubai airport\dubai airport Excel sheet\"/>
    </mc:Choice>
  </mc:AlternateContent>
  <xr:revisionPtr revIDLastSave="0" documentId="8_{6EC00A51-BB59-409D-9CF2-AE4FB1EC627B}" xr6:coauthVersionLast="47" xr6:coauthVersionMax="47" xr10:uidLastSave="{00000000-0000-0000-0000-000000000000}"/>
  <bookViews>
    <workbookView xWindow="-110" yWindow="-110" windowWidth="19420" windowHeight="10300" firstSheet="1" activeTab="3" xr2:uid="{E048ACE1-09AB-44ED-A2FD-5ED37D9E31EA}"/>
  </bookViews>
  <sheets>
    <sheet name="Quarterly Report Format - 2026" sheetId="55" r:id="rId1"/>
    <sheet name="Monthly Report Format - Feb" sheetId="51" r:id="rId2"/>
    <sheet name="Monthly Report Format - March" sheetId="52" r:id="rId3"/>
    <sheet name="Monthly Report Format - April" sheetId="53" r:id="rId4"/>
    <sheet name="Monthly Report Format - May" sheetId="5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1" i="54" l="1"/>
  <c r="H61" i="54"/>
  <c r="I61" i="54"/>
  <c r="L61" i="54"/>
  <c r="L62" i="53"/>
  <c r="G62" i="53"/>
  <c r="M62" i="53"/>
  <c r="H62" i="53"/>
  <c r="I62" i="53"/>
  <c r="L62" i="52"/>
  <c r="M62" i="52"/>
  <c r="G62" i="52"/>
  <c r="H62" i="52"/>
  <c r="I62" i="52"/>
  <c r="G60" i="51"/>
  <c r="H60" i="51"/>
  <c r="I60" i="51"/>
  <c r="L60" i="51"/>
  <c r="O11" i="54"/>
  <c r="N56" i="51"/>
  <c r="N57" i="51"/>
  <c r="N58" i="51"/>
  <c r="N59" i="51"/>
  <c r="O18" i="54" l="1"/>
  <c r="P16" i="54"/>
  <c r="P17" i="54"/>
  <c r="P18" i="54"/>
  <c r="P19" i="54"/>
  <c r="P20" i="54"/>
  <c r="P21" i="54"/>
  <c r="P22" i="54"/>
  <c r="P23" i="54"/>
  <c r="P24" i="54"/>
  <c r="P25" i="54"/>
  <c r="P26" i="54"/>
  <c r="P27" i="54"/>
  <c r="P28" i="54"/>
  <c r="P29" i="54"/>
  <c r="P30" i="54"/>
  <c r="P31" i="54"/>
  <c r="P32" i="54"/>
  <c r="P33" i="54"/>
  <c r="O34" i="54"/>
  <c r="P35" i="54"/>
  <c r="P36" i="54"/>
  <c r="P37" i="54"/>
  <c r="O38" i="54"/>
  <c r="P39" i="54"/>
  <c r="P40" i="54"/>
  <c r="P41" i="54"/>
  <c r="P42" i="54"/>
  <c r="P43" i="54"/>
  <c r="P44" i="54"/>
  <c r="P45" i="54"/>
  <c r="P46" i="54"/>
  <c r="P47" i="54"/>
  <c r="P48" i="54"/>
  <c r="P49" i="54"/>
  <c r="P50" i="54"/>
  <c r="P51" i="54"/>
  <c r="P52" i="54"/>
  <c r="P53" i="54"/>
  <c r="P54" i="54"/>
  <c r="P55" i="54"/>
  <c r="P18" i="53"/>
  <c r="P22" i="53"/>
  <c r="P26" i="53"/>
  <c r="P30" i="53"/>
  <c r="P34" i="53"/>
  <c r="P38" i="53"/>
  <c r="P42" i="53"/>
  <c r="P46" i="53"/>
  <c r="P50" i="53"/>
  <c r="P54" i="53"/>
  <c r="O17" i="53"/>
  <c r="O21" i="53"/>
  <c r="O25" i="53"/>
  <c r="O29" i="53"/>
  <c r="O33" i="53"/>
  <c r="O37" i="53"/>
  <c r="O41" i="53"/>
  <c r="O45" i="53"/>
  <c r="O49" i="53"/>
  <c r="O53" i="53"/>
  <c r="P16" i="53"/>
  <c r="P17" i="53"/>
  <c r="O18" i="53"/>
  <c r="P19" i="53"/>
  <c r="P20" i="53"/>
  <c r="P21" i="53"/>
  <c r="O22" i="53"/>
  <c r="P23" i="53"/>
  <c r="P24" i="53"/>
  <c r="P25" i="53"/>
  <c r="O26" i="53"/>
  <c r="P27" i="53"/>
  <c r="P28" i="53"/>
  <c r="P29" i="53"/>
  <c r="O30" i="53"/>
  <c r="P31" i="53"/>
  <c r="P32" i="53"/>
  <c r="P33" i="53"/>
  <c r="O34" i="53"/>
  <c r="P35" i="53"/>
  <c r="P36" i="53"/>
  <c r="P37" i="53"/>
  <c r="O38" i="53"/>
  <c r="P39" i="53"/>
  <c r="P40" i="53"/>
  <c r="P41" i="53"/>
  <c r="O42" i="53"/>
  <c r="P43" i="53"/>
  <c r="P44" i="53"/>
  <c r="P45" i="53"/>
  <c r="O46" i="53"/>
  <c r="P47" i="53"/>
  <c r="P48" i="53"/>
  <c r="P49" i="53"/>
  <c r="O50" i="53"/>
  <c r="P51" i="53"/>
  <c r="P52" i="53"/>
  <c r="P53" i="53"/>
  <c r="O54" i="53"/>
  <c r="P55" i="53"/>
  <c r="P56" i="53"/>
  <c r="P16" i="52"/>
  <c r="P17" i="52"/>
  <c r="P18" i="52"/>
  <c r="O19" i="52"/>
  <c r="P20" i="52"/>
  <c r="O21" i="52"/>
  <c r="O22" i="52"/>
  <c r="O23" i="52"/>
  <c r="P24" i="52"/>
  <c r="P25" i="52"/>
  <c r="O26" i="52"/>
  <c r="O27" i="52"/>
  <c r="P28" i="52"/>
  <c r="O29" i="52"/>
  <c r="P30" i="52"/>
  <c r="O31" i="52"/>
  <c r="P32" i="52"/>
  <c r="P33" i="52"/>
  <c r="P34" i="52"/>
  <c r="O35" i="52"/>
  <c r="P36" i="52"/>
  <c r="P37" i="52"/>
  <c r="O38" i="52"/>
  <c r="O39" i="52"/>
  <c r="P40" i="52"/>
  <c r="O41" i="52"/>
  <c r="P42" i="52"/>
  <c r="O43" i="52"/>
  <c r="P44" i="52"/>
  <c r="P45" i="52"/>
  <c r="O46" i="52"/>
  <c r="O47" i="52"/>
  <c r="P48" i="52"/>
  <c r="O49" i="52"/>
  <c r="O50" i="52"/>
  <c r="O51" i="52"/>
  <c r="P52" i="52"/>
  <c r="P53" i="52"/>
  <c r="O54" i="52"/>
  <c r="O55" i="52"/>
  <c r="P56" i="52"/>
  <c r="O15" i="51"/>
  <c r="P15" i="51"/>
  <c r="O16" i="51"/>
  <c r="P17" i="51"/>
  <c r="P18" i="51"/>
  <c r="O18" i="51"/>
  <c r="O19" i="51"/>
  <c r="P19" i="51"/>
  <c r="O20" i="51"/>
  <c r="P21" i="51"/>
  <c r="O21" i="51"/>
  <c r="O22" i="51"/>
  <c r="P23" i="51"/>
  <c r="O23" i="51"/>
  <c r="O24" i="51"/>
  <c r="P25" i="51"/>
  <c r="O25" i="51"/>
  <c r="O26" i="51"/>
  <c r="P26" i="51"/>
  <c r="O27" i="51"/>
  <c r="O28" i="51"/>
  <c r="P29" i="51"/>
  <c r="O30" i="51"/>
  <c r="P30" i="51"/>
  <c r="O31" i="51"/>
  <c r="P31" i="51"/>
  <c r="O32" i="51"/>
  <c r="P33" i="51"/>
  <c r="P34" i="51"/>
  <c r="O34" i="51"/>
  <c r="O35" i="51"/>
  <c r="P35" i="51"/>
  <c r="O36" i="51"/>
  <c r="P37" i="51"/>
  <c r="O37" i="51"/>
  <c r="O38" i="51"/>
  <c r="P39" i="51"/>
  <c r="O39" i="51"/>
  <c r="O40" i="51"/>
  <c r="P41" i="51"/>
  <c r="O41" i="51"/>
  <c r="O42" i="51"/>
  <c r="P42" i="51"/>
  <c r="O43" i="51"/>
  <c r="O44" i="51"/>
  <c r="P45" i="51"/>
  <c r="O46" i="51"/>
  <c r="P46" i="51"/>
  <c r="O47" i="51"/>
  <c r="P47" i="51"/>
  <c r="O48" i="51"/>
  <c r="P49" i="51"/>
  <c r="P50" i="51"/>
  <c r="O50" i="51"/>
  <c r="O51" i="51"/>
  <c r="P51" i="51"/>
  <c r="O52" i="51"/>
  <c r="P53" i="51"/>
  <c r="O53" i="51"/>
  <c r="O54" i="51"/>
  <c r="P55" i="51"/>
  <c r="O55" i="51"/>
  <c r="O56" i="51"/>
  <c r="P57" i="51"/>
  <c r="O57" i="51"/>
  <c r="O58" i="51"/>
  <c r="P58" i="51"/>
  <c r="O59" i="51"/>
  <c r="K61" i="54"/>
  <c r="J61" i="54"/>
  <c r="N60" i="54"/>
  <c r="O60" i="54" s="1"/>
  <c r="N59" i="54"/>
  <c r="P59" i="54" s="1"/>
  <c r="O58" i="54"/>
  <c r="P57" i="54"/>
  <c r="P56" i="54"/>
  <c r="P15" i="54"/>
  <c r="O14" i="54"/>
  <c r="O13" i="54"/>
  <c r="P12" i="54"/>
  <c r="P11" i="54"/>
  <c r="K62" i="53"/>
  <c r="J62" i="53"/>
  <c r="N61" i="53"/>
  <c r="P61" i="53" s="1"/>
  <c r="N60" i="53"/>
  <c r="P60" i="53" s="1"/>
  <c r="N59" i="53"/>
  <c r="O59" i="53" s="1"/>
  <c r="P58" i="53"/>
  <c r="P57" i="53"/>
  <c r="P15" i="53"/>
  <c r="O14" i="53"/>
  <c r="P13" i="53"/>
  <c r="P12" i="53"/>
  <c r="P11" i="53"/>
  <c r="K62" i="52"/>
  <c r="J62" i="52"/>
  <c r="N61" i="52"/>
  <c r="O61" i="52" s="1"/>
  <c r="N60" i="52"/>
  <c r="O60" i="52" s="1"/>
  <c r="N59" i="52"/>
  <c r="O59" i="52" s="1"/>
  <c r="N58" i="52"/>
  <c r="P58" i="52" s="1"/>
  <c r="N57" i="52"/>
  <c r="O57" i="52" s="1"/>
  <c r="P15" i="52"/>
  <c r="O14" i="52"/>
  <c r="P13" i="52"/>
  <c r="O12" i="52"/>
  <c r="P11" i="52"/>
  <c r="K60" i="51"/>
  <c r="J60" i="51"/>
  <c r="P14" i="51"/>
  <c r="O13" i="51"/>
  <c r="O12" i="51"/>
  <c r="P11" i="51"/>
  <c r="P10" i="51"/>
  <c r="M20" i="55"/>
  <c r="M21" i="55" s="1"/>
  <c r="L20" i="55"/>
  <c r="L21" i="55" s="1"/>
  <c r="K20" i="55"/>
  <c r="K21" i="55" s="1"/>
  <c r="J20" i="55"/>
  <c r="J21" i="55" s="1"/>
  <c r="I20" i="55"/>
  <c r="I21" i="55" s="1"/>
  <c r="H20" i="55"/>
  <c r="H21" i="55" s="1"/>
  <c r="G20" i="55"/>
  <c r="G21" i="55" s="1"/>
  <c r="F20" i="55"/>
  <c r="F21" i="55" s="1"/>
  <c r="E20" i="55"/>
  <c r="E21" i="55" s="1"/>
  <c r="D20" i="55"/>
  <c r="D21" i="55" s="1"/>
  <c r="C20" i="55"/>
  <c r="C21" i="55" s="1"/>
  <c r="O19" i="55"/>
  <c r="O18" i="55"/>
  <c r="M13" i="55"/>
  <c r="M14" i="55" s="1"/>
  <c r="L13" i="55"/>
  <c r="L14" i="55" s="1"/>
  <c r="K13" i="55"/>
  <c r="K14" i="55" s="1"/>
  <c r="J13" i="55"/>
  <c r="J14" i="55" s="1"/>
  <c r="I13" i="55"/>
  <c r="I14" i="55" s="1"/>
  <c r="H13" i="55"/>
  <c r="H14" i="55" s="1"/>
  <c r="G13" i="55"/>
  <c r="G14" i="55" s="1"/>
  <c r="F13" i="55"/>
  <c r="F14" i="55" s="1"/>
  <c r="E13" i="55"/>
  <c r="E14" i="55" s="1"/>
  <c r="D13" i="55"/>
  <c r="D14" i="55" s="1"/>
  <c r="C13" i="55"/>
  <c r="C14" i="55" s="1"/>
  <c r="O12" i="55"/>
  <c r="O11" i="55"/>
  <c r="I23" i="55" l="1"/>
  <c r="I24" i="55" s="1"/>
  <c r="M23" i="55"/>
  <c r="M24" i="55" s="1"/>
  <c r="G23" i="55"/>
  <c r="G24" i="55" s="1"/>
  <c r="H23" i="55"/>
  <c r="H24" i="55" s="1"/>
  <c r="L23" i="55"/>
  <c r="L24" i="55" s="1"/>
  <c r="E23" i="55"/>
  <c r="E24" i="55" s="1"/>
  <c r="D23" i="55"/>
  <c r="D24" i="55" s="1"/>
  <c r="C23" i="55"/>
  <c r="C24" i="55" s="1"/>
  <c r="O54" i="54"/>
  <c r="O50" i="54"/>
  <c r="O46" i="54"/>
  <c r="O42" i="54"/>
  <c r="O30" i="54"/>
  <c r="O26" i="54"/>
  <c r="O22" i="54"/>
  <c r="P38" i="54"/>
  <c r="P34" i="54"/>
  <c r="O53" i="54"/>
  <c r="O49" i="54"/>
  <c r="O45" i="54"/>
  <c r="O41" i="54"/>
  <c r="O37" i="54"/>
  <c r="O33" i="54"/>
  <c r="O29" i="54"/>
  <c r="O25" i="54"/>
  <c r="O21" i="54"/>
  <c r="O17" i="54"/>
  <c r="O52" i="54"/>
  <c r="O48" i="54"/>
  <c r="O44" i="54"/>
  <c r="O40" i="54"/>
  <c r="O36" i="54"/>
  <c r="O32" i="54"/>
  <c r="O28" i="54"/>
  <c r="O24" i="54"/>
  <c r="O20" i="54"/>
  <c r="O16" i="54"/>
  <c r="O55" i="54"/>
  <c r="O51" i="54"/>
  <c r="O47" i="54"/>
  <c r="O43" i="54"/>
  <c r="O39" i="54"/>
  <c r="O35" i="54"/>
  <c r="O31" i="54"/>
  <c r="O27" i="54"/>
  <c r="O23" i="54"/>
  <c r="O19" i="54"/>
  <c r="P59" i="53"/>
  <c r="P62" i="53"/>
  <c r="O56" i="53"/>
  <c r="O52" i="53"/>
  <c r="O48" i="53"/>
  <c r="O44" i="53"/>
  <c r="O40" i="53"/>
  <c r="O36" i="53"/>
  <c r="O32" i="53"/>
  <c r="O28" i="53"/>
  <c r="O24" i="53"/>
  <c r="O20" i="53"/>
  <c r="O16" i="53"/>
  <c r="O55" i="53"/>
  <c r="O51" i="53"/>
  <c r="O47" i="53"/>
  <c r="O43" i="53"/>
  <c r="O39" i="53"/>
  <c r="O35" i="53"/>
  <c r="O31" i="53"/>
  <c r="O27" i="53"/>
  <c r="O23" i="53"/>
  <c r="O19" i="53"/>
  <c r="P62" i="52"/>
  <c r="P47" i="52"/>
  <c r="P39" i="52"/>
  <c r="P31" i="52"/>
  <c r="P55" i="52"/>
  <c r="P23" i="52"/>
  <c r="O34" i="52"/>
  <c r="P50" i="52"/>
  <c r="P26" i="52"/>
  <c r="O30" i="52"/>
  <c r="O42" i="52"/>
  <c r="P54" i="52"/>
  <c r="P46" i="52"/>
  <c r="P38" i="52"/>
  <c r="P22" i="52"/>
  <c r="O18" i="52"/>
  <c r="P51" i="52"/>
  <c r="P43" i="52"/>
  <c r="P35" i="52"/>
  <c r="P27" i="52"/>
  <c r="P19" i="52"/>
  <c r="O17" i="52"/>
  <c r="O53" i="52"/>
  <c r="O45" i="52"/>
  <c r="O37" i="52"/>
  <c r="O33" i="52"/>
  <c r="O25" i="52"/>
  <c r="O56" i="52"/>
  <c r="O48" i="52"/>
  <c r="O44" i="52"/>
  <c r="O40" i="52"/>
  <c r="O36" i="52"/>
  <c r="O32" i="52"/>
  <c r="O28" i="52"/>
  <c r="O20" i="52"/>
  <c r="O16" i="52"/>
  <c r="P49" i="52"/>
  <c r="P41" i="52"/>
  <c r="P29" i="52"/>
  <c r="P21" i="52"/>
  <c r="O52" i="52"/>
  <c r="O24" i="52"/>
  <c r="P59" i="51"/>
  <c r="P54" i="51"/>
  <c r="O49" i="51"/>
  <c r="P43" i="51"/>
  <c r="P38" i="51"/>
  <c r="O33" i="51"/>
  <c r="P27" i="51"/>
  <c r="P22" i="51"/>
  <c r="O17" i="51"/>
  <c r="O45" i="51"/>
  <c r="O29" i="51"/>
  <c r="P14" i="54"/>
  <c r="O57" i="54"/>
  <c r="P13" i="54"/>
  <c r="P58" i="54"/>
  <c r="P61" i="54"/>
  <c r="P14" i="53"/>
  <c r="O58" i="53"/>
  <c r="O13" i="53"/>
  <c r="P60" i="52"/>
  <c r="P57" i="52"/>
  <c r="O15" i="52"/>
  <c r="O11" i="52"/>
  <c r="P12" i="52"/>
  <c r="P61" i="52"/>
  <c r="P56" i="51"/>
  <c r="P52" i="51"/>
  <c r="P48" i="51"/>
  <c r="P44" i="51"/>
  <c r="P40" i="51"/>
  <c r="P36" i="51"/>
  <c r="P32" i="51"/>
  <c r="P28" i="51"/>
  <c r="P24" i="51"/>
  <c r="P20" i="51"/>
  <c r="P16" i="51"/>
  <c r="P12" i="51"/>
  <c r="P60" i="51"/>
  <c r="P13" i="51"/>
  <c r="O12" i="54"/>
  <c r="O56" i="54"/>
  <c r="O15" i="54"/>
  <c r="O59" i="54"/>
  <c r="P60" i="54"/>
  <c r="O57" i="53"/>
  <c r="O61" i="53"/>
  <c r="O12" i="53"/>
  <c r="O11" i="53"/>
  <c r="O15" i="53"/>
  <c r="O60" i="53"/>
  <c r="O13" i="52"/>
  <c r="P14" i="52"/>
  <c r="O58" i="52"/>
  <c r="P59" i="52"/>
  <c r="O11" i="51"/>
  <c r="O10" i="51"/>
  <c r="O14" i="51"/>
  <c r="K23" i="55"/>
  <c r="K24" i="55" s="1"/>
  <c r="F23" i="55"/>
  <c r="F24" i="55" s="1"/>
  <c r="J23" i="55"/>
  <c r="J24" i="55" s="1"/>
  <c r="O13" i="55"/>
  <c r="O14" i="55" s="1"/>
  <c r="O20" i="55"/>
  <c r="O21" i="55" s="1"/>
  <c r="O62" i="52" l="1"/>
  <c r="O61" i="54"/>
  <c r="O62" i="53"/>
  <c r="O60" i="51"/>
  <c r="O23" i="55"/>
  <c r="O24" i="55" s="1"/>
</calcChain>
</file>

<file path=xl/sharedStrings.xml><?xml version="1.0" encoding="utf-8"?>
<sst xmlns="http://schemas.openxmlformats.org/spreadsheetml/2006/main" count="782" uniqueCount="130">
  <si>
    <t>S.No</t>
  </si>
  <si>
    <t xml:space="preserve">Customer name </t>
  </si>
  <si>
    <t>Location</t>
  </si>
  <si>
    <t>Month</t>
  </si>
  <si>
    <t>Other Revenue</t>
  </si>
  <si>
    <t>Total Revenue</t>
  </si>
  <si>
    <t>VAT</t>
  </si>
  <si>
    <t>Service Type</t>
  </si>
  <si>
    <t xml:space="preserve">Grey cell: Either the service has been suspended or terminated </t>
  </si>
  <si>
    <t xml:space="preserve">DA Revenue Share </t>
  </si>
  <si>
    <t>Date</t>
  </si>
  <si>
    <t xml:space="preserve">Signature </t>
  </si>
  <si>
    <t xml:space="preserve">Total </t>
  </si>
  <si>
    <t>Revenue Breakdown</t>
  </si>
  <si>
    <t>Comments</t>
  </si>
  <si>
    <t>Tenant Wifi</t>
  </si>
  <si>
    <t>Tenant Secure Wifi</t>
  </si>
  <si>
    <t>Guest Lounge wifi</t>
  </si>
  <si>
    <t>Wireline Internet</t>
  </si>
  <si>
    <t>Tenant Services</t>
  </si>
  <si>
    <t>Al Maktoum International ‐ DWC</t>
  </si>
  <si>
    <t>Dubai International Airport ‐ DXB</t>
  </si>
  <si>
    <t>Dubai Airports Corporation</t>
  </si>
  <si>
    <t xml:space="preserve">AED </t>
  </si>
  <si>
    <t>TOTAL</t>
  </si>
  <si>
    <t xml:space="preserve">Tenant Services Revenue </t>
  </si>
  <si>
    <t>Other Revenue (if applicable)</t>
  </si>
  <si>
    <t xml:space="preserve">Total DWC revenue </t>
  </si>
  <si>
    <t>DA Revenue share percentage (70%)</t>
  </si>
  <si>
    <t>Dubai International Airport - DXB</t>
  </si>
  <si>
    <t>AL Maktoum International - DWC</t>
  </si>
  <si>
    <t>Q1</t>
  </si>
  <si>
    <t>Q2</t>
  </si>
  <si>
    <t>Q3</t>
  </si>
  <si>
    <t>Q4</t>
  </si>
  <si>
    <t>Total Revenue share for both DXB and DWC</t>
  </si>
  <si>
    <t>VAT (5%)</t>
  </si>
  <si>
    <t xml:space="preserve">Total DXB revenue </t>
  </si>
  <si>
    <t>British Airways</t>
  </si>
  <si>
    <t>Emirates</t>
  </si>
  <si>
    <t>Gulf Air</t>
  </si>
  <si>
    <t>Fly Dubai</t>
  </si>
  <si>
    <t xml:space="preserve">ONGROUND Hospitality LLC </t>
  </si>
  <si>
    <t>CD,T1,CD</t>
  </si>
  <si>
    <t>DXB-DWC</t>
  </si>
  <si>
    <t>CD</t>
  </si>
  <si>
    <t>T2</t>
  </si>
  <si>
    <t>DXB</t>
  </si>
  <si>
    <t>Guest Lounge Wifi</t>
  </si>
  <si>
    <t>Feb/1/2026</t>
  </si>
  <si>
    <t xml:space="preserve"> Monthly Report (02-26)</t>
  </si>
  <si>
    <t>March/1/2025</t>
  </si>
  <si>
    <t xml:space="preserve"> Monthly Report (03-26)</t>
  </si>
  <si>
    <t>Guest Lounge Wifi/Wireline Internet</t>
  </si>
  <si>
    <t>Guest Lounge Wifi/Wireline Internet/Tenant Secure Wifi</t>
  </si>
  <si>
    <t>Dubai International Hotel</t>
  </si>
  <si>
    <t>CD,CA,CB,CC,CD</t>
  </si>
  <si>
    <t>Dubai Immigration GDRFA</t>
  </si>
  <si>
    <t>DXB/DWC</t>
  </si>
  <si>
    <t>Lufthansa Octopian Europe</t>
  </si>
  <si>
    <t>Plaza Premium Lounge (Joint Billion)</t>
  </si>
  <si>
    <t>CA</t>
  </si>
  <si>
    <t>Emirates Leisure Retails</t>
  </si>
  <si>
    <t>Ministry of Foreign Affairs (MOFA)</t>
  </si>
  <si>
    <t>T3</t>
  </si>
  <si>
    <t>SriLankan Airlines</t>
  </si>
  <si>
    <t>T1</t>
  </si>
  <si>
    <t>La Rosist Rose</t>
  </si>
  <si>
    <t>Dubai Duty Free</t>
  </si>
  <si>
    <t>CA CB CC CD - DXB</t>
  </si>
  <si>
    <t>RISE LLC (Shamal Holdings-Five Guys)</t>
  </si>
  <si>
    <t>CB</t>
  </si>
  <si>
    <t xml:space="preserve">Retail is detail LLC </t>
  </si>
  <si>
    <t>GMG Consumer LLC (Geant Store)</t>
  </si>
  <si>
    <t>CB - T2</t>
  </si>
  <si>
    <t xml:space="preserve">ISS Global Forwarding </t>
  </si>
  <si>
    <t>CMT</t>
  </si>
  <si>
    <t>Greet &amp; Go - Valtrans</t>
  </si>
  <si>
    <t>EKFC</t>
  </si>
  <si>
    <t>TK Airport Solutions SA</t>
  </si>
  <si>
    <t>Airside</t>
  </si>
  <si>
    <t>Associated Services Experts FZCO</t>
  </si>
  <si>
    <t>Air India Limited</t>
  </si>
  <si>
    <t>Serco</t>
  </si>
  <si>
    <t>Siemens</t>
  </si>
  <si>
    <t>T3 -CMT</t>
  </si>
  <si>
    <t>Tenant Secure Wifi/Tenant Wifi</t>
  </si>
  <si>
    <t>Sandy Paws</t>
  </si>
  <si>
    <t>China Eastern Airlines</t>
  </si>
  <si>
    <t>Ethiopian Airlines Enterprise</t>
  </si>
  <si>
    <t>Smiths Detection</t>
  </si>
  <si>
    <t>ENOVA</t>
  </si>
  <si>
    <t>CMT - DXB</t>
  </si>
  <si>
    <t>Emrill Services LLC</t>
  </si>
  <si>
    <t>FL Technics LLC</t>
  </si>
  <si>
    <t>Farnek Services LLC</t>
  </si>
  <si>
    <t>Dubai Customs</t>
  </si>
  <si>
    <t>Airport Wide</t>
  </si>
  <si>
    <t xml:space="preserve">UNITED MOTORS &amp; HEAVY EQUIPMENT CO. L.L.C  </t>
  </si>
  <si>
    <t>Turkish Airlines</t>
  </si>
  <si>
    <t>United Airline</t>
  </si>
  <si>
    <t>Virgin Atlantic Airlines</t>
  </si>
  <si>
    <t>Air Astana</t>
  </si>
  <si>
    <t>Air India Express Limited</t>
  </si>
  <si>
    <t>Royal Brunei</t>
  </si>
  <si>
    <t>Pakistan International Airlines</t>
  </si>
  <si>
    <t xml:space="preserve">IRAN AIR </t>
  </si>
  <si>
    <t>Indigo Airlines (InterGlobe Aviation Limited)</t>
  </si>
  <si>
    <t>Dubai Corporation for Ambulance Services</t>
  </si>
  <si>
    <t>Wireline Internet/Tenant Secure Wifi</t>
  </si>
  <si>
    <t>AL ARABIA FOR SAFETY &amp; SECURITY L.L.C</t>
  </si>
  <si>
    <t>IGF CARGO LLC</t>
  </si>
  <si>
    <t>MILSPED FZE</t>
  </si>
  <si>
    <t>comments</t>
  </si>
  <si>
    <t xml:space="preserve"> Monthly Report (04-26)</t>
  </si>
  <si>
    <t xml:space="preserve"> Monthly Report (05-26)</t>
  </si>
  <si>
    <t>April/1/2026</t>
  </si>
  <si>
    <t>Wi‐Fi Monthly Revenue Report for 02-26 to 05-26</t>
  </si>
  <si>
    <t>Deactivation : Iran Air deactivated on 30/04/2026</t>
  </si>
  <si>
    <t>AP</t>
  </si>
  <si>
    <t>Wireline Internet with Ports</t>
  </si>
  <si>
    <t>1)</t>
  </si>
  <si>
    <t>2)</t>
  </si>
  <si>
    <t>3)</t>
  </si>
  <si>
    <t>4)</t>
  </si>
  <si>
    <t>The Monthly Recurring Charges (MRC) for the tenant ( Dubai Duty Free ), calculated from the activation date for the month of January and February, has been included in the March invoice as prorated charges.</t>
  </si>
  <si>
    <t>The Monthly Recurring Charges (MRC) for all tenants, calculated from the activation date in January, have been included in the February invoice as prorated charges.</t>
  </si>
  <si>
    <t>The prorated charge of AED 597.43 for Flydubai was not included in the February invoice. It was subsequently billed in the May invoice</t>
  </si>
  <si>
    <t>Please note that two new tenants were added in the month of April,and their details have been included in the updated sheet.</t>
  </si>
  <si>
    <t>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</si>
</sst>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AED]\ * #,##0.00_);_([$AED]\ * \(#,##0.00\);_([$AED]\ * &quot;-&quot;??_);_(@_)"/>
    <numFmt numFmtId="165" formatCode="_-[$AED-4C09]* #,##0.00_-;\-[$AED-4C09]* #,##0.00_-;_-[$AED-4C09]* &quot;-&quot;??_-;_-@_-"/>
    <numFmt numFmtId="166" formatCode="_ [$AED]\ * #,##0.00_ ;_ [$AED]\ * \-#,##0.00_ ;_ [$AED]\ * &quot;-&quot;??_ ;_ @_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8"/>
      <name val="Calibri"/>
      <family val="2"/>
      <scheme val="minor"/>
    </font>
    <font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i/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9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0"/>
      <name val="Calibri"/>
      <family val="2"/>
    </font>
    <font>
      <b/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 tint="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6">
    <xf numFmtId="0" fontId="0" fillId="0" borderId="0" xfId="0"/>
    <xf numFmtId="0" fontId="7" fillId="0" borderId="2" xfId="0" applyFont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3" borderId="0" xfId="0" applyFill="1"/>
    <xf numFmtId="0" fontId="10" fillId="0" borderId="2" xfId="0" applyFont="1" applyBorder="1" applyAlignment="1">
      <alignment horizontal="left"/>
    </xf>
    <xf numFmtId="165" fontId="6" fillId="2" borderId="2" xfId="2" applyNumberFormat="1" applyFont="1" applyFill="1" applyBorder="1" applyAlignment="1">
      <alignment horizontal="center"/>
    </xf>
    <xf numFmtId="165" fontId="11" fillId="2" borderId="2" xfId="2" applyNumberFormat="1" applyFont="1" applyFill="1" applyBorder="1" applyAlignment="1">
      <alignment horizontal="right"/>
    </xf>
    <xf numFmtId="164" fontId="6" fillId="2" borderId="2" xfId="2" applyNumberFormat="1" applyFont="1" applyFill="1" applyBorder="1"/>
    <xf numFmtId="164" fontId="6" fillId="2" borderId="2" xfId="1" applyNumberFormat="1" applyFont="1" applyFill="1" applyBorder="1"/>
    <xf numFmtId="165" fontId="6" fillId="0" borderId="2" xfId="2" applyNumberFormat="1" applyFont="1" applyBorder="1"/>
    <xf numFmtId="0" fontId="0" fillId="2" borderId="0" xfId="0" applyFill="1"/>
    <xf numFmtId="0" fontId="8" fillId="0" borderId="5" xfId="0" applyFont="1" applyBorder="1" applyAlignment="1">
      <alignment horizontal="center"/>
    </xf>
    <xf numFmtId="164" fontId="6" fillId="2" borderId="3" xfId="2" applyNumberFormat="1" applyFont="1" applyFill="1" applyBorder="1"/>
    <xf numFmtId="0" fontId="4" fillId="0" borderId="2" xfId="0" applyFont="1" applyBorder="1"/>
    <xf numFmtId="0" fontId="3" fillId="0" borderId="2" xfId="0" applyFont="1" applyBorder="1"/>
    <xf numFmtId="0" fontId="4" fillId="0" borderId="5" xfId="0" applyFont="1" applyBorder="1"/>
    <xf numFmtId="165" fontId="6" fillId="0" borderId="8" xfId="2" applyNumberFormat="1" applyFont="1" applyBorder="1"/>
    <xf numFmtId="164" fontId="9" fillId="2" borderId="2" xfId="2" applyNumberFormat="1" applyFont="1" applyFill="1" applyBorder="1"/>
    <xf numFmtId="0" fontId="4" fillId="2" borderId="0" xfId="0" applyFont="1" applyFill="1"/>
    <xf numFmtId="165" fontId="6" fillId="2" borderId="0" xfId="2" applyNumberFormat="1" applyFont="1" applyFill="1"/>
    <xf numFmtId="44" fontId="4" fillId="2" borderId="0" xfId="2" applyFont="1" applyFill="1"/>
    <xf numFmtId="0" fontId="4" fillId="2" borderId="0" xfId="0" applyFont="1" applyFill="1" applyAlignment="1">
      <alignment horizontal="right"/>
    </xf>
    <xf numFmtId="164" fontId="9" fillId="2" borderId="0" xfId="2" applyNumberFormat="1" applyFont="1" applyFill="1" applyBorder="1"/>
    <xf numFmtId="0" fontId="12" fillId="4" borderId="2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0" fontId="16" fillId="4" borderId="2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/>
    </xf>
    <xf numFmtId="0" fontId="8" fillId="0" borderId="5" xfId="0" applyFont="1" applyBorder="1" applyAlignment="1">
      <alignment horizontal="center" wrapText="1"/>
    </xf>
    <xf numFmtId="0" fontId="12" fillId="4" borderId="6" xfId="0" applyFont="1" applyFill="1" applyBorder="1" applyAlignment="1">
      <alignment horizontal="center"/>
    </xf>
    <xf numFmtId="43" fontId="6" fillId="2" borderId="3" xfId="1" applyFont="1" applyFill="1" applyBorder="1"/>
    <xf numFmtId="165" fontId="6" fillId="0" borderId="3" xfId="2" applyNumberFormat="1" applyFont="1" applyBorder="1"/>
    <xf numFmtId="0" fontId="15" fillId="5" borderId="16" xfId="0" applyFont="1" applyFill="1" applyBorder="1" applyAlignment="1">
      <alignment horizontal="center" vertical="center"/>
    </xf>
    <xf numFmtId="0" fontId="0" fillId="0" borderId="2" xfId="0" applyBorder="1"/>
    <xf numFmtId="164" fontId="0" fillId="0" borderId="2" xfId="0" applyNumberFormat="1" applyBorder="1"/>
    <xf numFmtId="166" fontId="0" fillId="0" borderId="2" xfId="0" applyNumberFormat="1" applyBorder="1"/>
    <xf numFmtId="0" fontId="0" fillId="6" borderId="2" xfId="0" applyFill="1" applyBorder="1"/>
    <xf numFmtId="166" fontId="0" fillId="6" borderId="2" xfId="0" applyNumberFormat="1" applyFill="1" applyBorder="1"/>
    <xf numFmtId="0" fontId="20" fillId="0" borderId="10" xfId="0" applyFont="1" applyBorder="1"/>
    <xf numFmtId="166" fontId="20" fillId="0" borderId="11" xfId="0" applyNumberFormat="1" applyFont="1" applyBorder="1"/>
    <xf numFmtId="0" fontId="20" fillId="0" borderId="11" xfId="0" applyFont="1" applyBorder="1"/>
    <xf numFmtId="166" fontId="20" fillId="0" borderId="12" xfId="0" applyNumberFormat="1" applyFont="1" applyBorder="1"/>
    <xf numFmtId="0" fontId="20" fillId="0" borderId="7" xfId="0" applyFont="1" applyBorder="1"/>
    <xf numFmtId="166" fontId="20" fillId="0" borderId="8" xfId="0" applyNumberFormat="1" applyFont="1" applyBorder="1"/>
    <xf numFmtId="0" fontId="20" fillId="0" borderId="8" xfId="0" applyFont="1" applyBorder="1"/>
    <xf numFmtId="166" fontId="20" fillId="0" borderId="9" xfId="0" applyNumberFormat="1" applyFont="1" applyBorder="1"/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18" fillId="2" borderId="24" xfId="0" applyFont="1" applyFill="1" applyBorder="1"/>
    <xf numFmtId="0" fontId="19" fillId="4" borderId="2" xfId="0" applyFont="1" applyFill="1" applyBorder="1" applyAlignment="1">
      <alignment horizontal="center"/>
    </xf>
    <xf numFmtId="0" fontId="19" fillId="4" borderId="2" xfId="0" applyFont="1" applyFill="1" applyBorder="1" applyAlignment="1">
      <alignment horizontal="center"/>
    </xf>
    <xf numFmtId="14" fontId="6" fillId="0" borderId="2" xfId="0" applyNumberFormat="1" applyFont="1" applyBorder="1" applyAlignment="1">
      <alignment horizontal="center"/>
    </xf>
    <xf numFmtId="0" fontId="13" fillId="4" borderId="0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43" fontId="6" fillId="2" borderId="5" xfId="1" applyFont="1" applyFill="1" applyBorder="1"/>
    <xf numFmtId="165" fontId="6" fillId="0" borderId="30" xfId="2" applyNumberFormat="1" applyFont="1" applyBorder="1"/>
    <xf numFmtId="43" fontId="6" fillId="2" borderId="2" xfId="1" applyFont="1" applyFill="1" applyBorder="1"/>
    <xf numFmtId="0" fontId="21" fillId="2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6" fillId="6" borderId="2" xfId="0" applyFont="1" applyFill="1" applyBorder="1"/>
    <xf numFmtId="14" fontId="6" fillId="6" borderId="2" xfId="0" applyNumberFormat="1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 wrapText="1"/>
    </xf>
    <xf numFmtId="0" fontId="8" fillId="6" borderId="2" xfId="0" applyFont="1" applyFill="1" applyBorder="1" applyAlignment="1">
      <alignment horizontal="center"/>
    </xf>
    <xf numFmtId="165" fontId="11" fillId="6" borderId="2" xfId="2" applyNumberFormat="1" applyFont="1" applyFill="1" applyBorder="1" applyAlignment="1">
      <alignment horizontal="right"/>
    </xf>
    <xf numFmtId="43" fontId="6" fillId="6" borderId="5" xfId="1" applyFont="1" applyFill="1" applyBorder="1"/>
    <xf numFmtId="43" fontId="6" fillId="6" borderId="2" xfId="1" applyFont="1" applyFill="1" applyBorder="1"/>
    <xf numFmtId="43" fontId="6" fillId="6" borderId="3" xfId="1" applyFont="1" applyFill="1" applyBorder="1"/>
    <xf numFmtId="164" fontId="6" fillId="6" borderId="3" xfId="2" applyNumberFormat="1" applyFont="1" applyFill="1" applyBorder="1"/>
    <xf numFmtId="164" fontId="6" fillId="6" borderId="2" xfId="1" applyNumberFormat="1" applyFont="1" applyFill="1" applyBorder="1"/>
    <xf numFmtId="164" fontId="6" fillId="6" borderId="2" xfId="2" applyNumberFormat="1" applyFont="1" applyFill="1" applyBorder="1"/>
    <xf numFmtId="16" fontId="19" fillId="4" borderId="2" xfId="0" applyNumberFormat="1" applyFont="1" applyFill="1" applyBorder="1" applyAlignment="1">
      <alignment horizontal="center"/>
    </xf>
    <xf numFmtId="0" fontId="19" fillId="5" borderId="17" xfId="0" applyFont="1" applyFill="1" applyBorder="1" applyAlignment="1">
      <alignment horizontal="left"/>
    </xf>
    <xf numFmtId="0" fontId="19" fillId="5" borderId="13" xfId="0" applyFont="1" applyFill="1" applyBorder="1" applyAlignment="1">
      <alignment horizontal="left"/>
    </xf>
    <xf numFmtId="0" fontId="19" fillId="5" borderId="23" xfId="0" applyFont="1" applyFill="1" applyBorder="1" applyAlignment="1">
      <alignment horizontal="left"/>
    </xf>
    <xf numFmtId="0" fontId="19" fillId="5" borderId="19" xfId="0" applyFont="1" applyFill="1" applyBorder="1" applyAlignment="1">
      <alignment horizontal="left"/>
    </xf>
    <xf numFmtId="0" fontId="19" fillId="5" borderId="1" xfId="0" applyFont="1" applyFill="1" applyBorder="1" applyAlignment="1">
      <alignment horizontal="left"/>
    </xf>
    <xf numFmtId="0" fontId="19" fillId="5" borderId="15" xfId="0" applyFont="1" applyFill="1" applyBorder="1" applyAlignment="1">
      <alignment horizontal="left"/>
    </xf>
    <xf numFmtId="0" fontId="17" fillId="2" borderId="2" xfId="0" applyFon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14" fillId="4" borderId="2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6" fillId="2" borderId="2" xfId="0" applyFont="1" applyFill="1" applyBorder="1"/>
    <xf numFmtId="0" fontId="6" fillId="2" borderId="2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/>
    </xf>
    <xf numFmtId="14" fontId="6" fillId="2" borderId="2" xfId="0" applyNumberFormat="1" applyFont="1" applyFill="1" applyBorder="1" applyAlignment="1">
      <alignment horizontal="center"/>
    </xf>
    <xf numFmtId="16" fontId="19" fillId="4" borderId="5" xfId="0" applyNumberFormat="1" applyFont="1" applyFill="1" applyBorder="1" applyAlignment="1">
      <alignment horizontal="center"/>
    </xf>
    <xf numFmtId="16" fontId="19" fillId="4" borderId="3" xfId="0" applyNumberFormat="1" applyFont="1" applyFill="1" applyBorder="1" applyAlignment="1">
      <alignment horizontal="center"/>
    </xf>
    <xf numFmtId="16" fontId="19" fillId="4" borderId="6" xfId="0" applyNumberFormat="1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18" fillId="0" borderId="0" xfId="0" applyFont="1"/>
    <xf numFmtId="0" fontId="0" fillId="0" borderId="0" xfId="0" applyAlignment="1">
      <alignment horizontal="right"/>
    </xf>
    <xf numFmtId="0" fontId="18" fillId="0" borderId="0" xfId="0" applyFont="1" applyAlignment="1">
      <alignment horizontal="right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826D-AF9B-46B6-A100-02431511EA90}">
  <sheetPr>
    <pageSetUpPr fitToPage="1"/>
  </sheetPr>
  <dimension ref="A1:O33"/>
  <sheetViews>
    <sheetView topLeftCell="A14" zoomScale="70" zoomScaleNormal="70" workbookViewId="0">
      <selection activeCell="B34" sqref="B34"/>
    </sheetView>
  </sheetViews>
  <sheetFormatPr defaultRowHeight="14.5" x14ac:dyDescent="0.35"/>
  <cols>
    <col min="1" max="1" width="10.54296875" customWidth="1"/>
    <col min="2" max="2" width="40.08984375" customWidth="1"/>
    <col min="3" max="6" width="15.08984375" bestFit="1" customWidth="1"/>
    <col min="7" max="7" width="8.7265625" customWidth="1"/>
    <col min="8" max="8" width="13.26953125" customWidth="1"/>
    <col min="9" max="9" width="15.6328125" customWidth="1"/>
    <col min="10" max="10" width="14.26953125" customWidth="1"/>
    <col min="12" max="12" width="19.6328125" customWidth="1"/>
    <col min="13" max="13" width="15.26953125" customWidth="1"/>
    <col min="15" max="15" width="16.54296875" bestFit="1" customWidth="1"/>
  </cols>
  <sheetData>
    <row r="1" spans="1:15" ht="15" thickBot="1" x14ac:dyDescent="0.4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x14ac:dyDescent="0.35">
      <c r="A2" s="14"/>
      <c r="B2" s="51" t="s">
        <v>117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x14ac:dyDescent="0.35">
      <c r="A3" s="14"/>
      <c r="B3" s="49" t="s">
        <v>22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x14ac:dyDescent="0.35">
      <c r="A4" s="14"/>
      <c r="B4" s="49" t="s">
        <v>20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ht="15" thickBot="1" x14ac:dyDescent="0.4">
      <c r="A5" s="14"/>
      <c r="B5" s="50" t="s">
        <v>21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x14ac:dyDescent="0.3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x14ac:dyDescent="0.35">
      <c r="A7" s="14"/>
      <c r="B7" s="53"/>
      <c r="C7" s="108" t="s">
        <v>31</v>
      </c>
      <c r="D7" s="109"/>
      <c r="E7" s="108" t="s">
        <v>32</v>
      </c>
      <c r="F7" s="110"/>
      <c r="G7" s="109"/>
      <c r="H7" s="108" t="s">
        <v>33</v>
      </c>
      <c r="I7" s="110"/>
      <c r="J7" s="109"/>
      <c r="K7" s="108" t="s">
        <v>34</v>
      </c>
      <c r="L7" s="110"/>
      <c r="M7" s="109"/>
      <c r="N7" s="53"/>
      <c r="O7" s="53" t="s">
        <v>24</v>
      </c>
    </row>
    <row r="8" spans="1:15" x14ac:dyDescent="0.35">
      <c r="A8" s="14"/>
      <c r="B8" s="52" t="s">
        <v>23</v>
      </c>
      <c r="C8" s="73">
        <v>46079</v>
      </c>
      <c r="D8" s="73">
        <v>46107</v>
      </c>
      <c r="E8" s="73">
        <v>46138</v>
      </c>
      <c r="F8" s="73">
        <v>46168</v>
      </c>
      <c r="G8" s="73">
        <v>46199</v>
      </c>
      <c r="H8" s="73">
        <v>46229</v>
      </c>
      <c r="I8" s="73">
        <v>46260</v>
      </c>
      <c r="J8" s="73">
        <v>46291</v>
      </c>
      <c r="K8" s="73">
        <v>46321</v>
      </c>
      <c r="L8" s="73">
        <v>46352</v>
      </c>
      <c r="M8" s="73">
        <v>46382</v>
      </c>
      <c r="N8" s="52"/>
      <c r="O8" s="52" t="s">
        <v>24</v>
      </c>
    </row>
    <row r="9" spans="1:15" x14ac:dyDescent="0.35">
      <c r="A9" s="14"/>
      <c r="B9" s="74" t="s">
        <v>30</v>
      </c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6"/>
    </row>
    <row r="10" spans="1:15" x14ac:dyDescent="0.35">
      <c r="A10" s="14"/>
      <c r="B10" s="77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9"/>
    </row>
    <row r="11" spans="1:15" x14ac:dyDescent="0.35">
      <c r="A11" s="14"/>
      <c r="B11" s="36" t="s">
        <v>25</v>
      </c>
      <c r="C11" s="38" t="s">
        <v>23</v>
      </c>
      <c r="D11" s="38" t="s">
        <v>23</v>
      </c>
      <c r="E11" s="38" t="s">
        <v>23</v>
      </c>
      <c r="F11" s="38" t="s">
        <v>23</v>
      </c>
      <c r="G11" s="38" t="s">
        <v>23</v>
      </c>
      <c r="H11" s="38" t="s">
        <v>23</v>
      </c>
      <c r="I11" s="38" t="s">
        <v>23</v>
      </c>
      <c r="J11" s="38" t="s">
        <v>23</v>
      </c>
      <c r="K11" s="38" t="s">
        <v>23</v>
      </c>
      <c r="L11" s="38" t="s">
        <v>23</v>
      </c>
      <c r="M11" s="38" t="s">
        <v>23</v>
      </c>
      <c r="N11" s="39"/>
      <c r="O11" s="37">
        <f>SUM(C11:M11)</f>
        <v>0</v>
      </c>
    </row>
    <row r="12" spans="1:15" x14ac:dyDescent="0.35">
      <c r="A12" s="14"/>
      <c r="B12" s="36" t="s">
        <v>26</v>
      </c>
      <c r="C12" s="38" t="s">
        <v>23</v>
      </c>
      <c r="D12" s="38" t="s">
        <v>23</v>
      </c>
      <c r="E12" s="38" t="s">
        <v>23</v>
      </c>
      <c r="F12" s="38" t="s">
        <v>23</v>
      </c>
      <c r="G12" s="38" t="s">
        <v>23</v>
      </c>
      <c r="H12" s="38" t="s">
        <v>23</v>
      </c>
      <c r="I12" s="38" t="s">
        <v>23</v>
      </c>
      <c r="J12" s="38" t="s">
        <v>23</v>
      </c>
      <c r="K12" s="38" t="s">
        <v>23</v>
      </c>
      <c r="L12" s="38" t="s">
        <v>23</v>
      </c>
      <c r="M12" s="38" t="s">
        <v>23</v>
      </c>
      <c r="N12" s="39"/>
      <c r="O12" s="37">
        <f>SUM(C12:M12)</f>
        <v>0</v>
      </c>
    </row>
    <row r="13" spans="1:15" x14ac:dyDescent="0.35">
      <c r="A13" s="14"/>
      <c r="B13" s="36" t="s">
        <v>27</v>
      </c>
      <c r="C13" s="37">
        <f t="shared" ref="C13:M13" si="0">SUM(C11:C12)</f>
        <v>0</v>
      </c>
      <c r="D13" s="37">
        <f t="shared" si="0"/>
        <v>0</v>
      </c>
      <c r="E13" s="37">
        <f t="shared" si="0"/>
        <v>0</v>
      </c>
      <c r="F13" s="37">
        <f t="shared" si="0"/>
        <v>0</v>
      </c>
      <c r="G13" s="37">
        <f t="shared" si="0"/>
        <v>0</v>
      </c>
      <c r="H13" s="37">
        <f t="shared" si="0"/>
        <v>0</v>
      </c>
      <c r="I13" s="37">
        <f t="shared" si="0"/>
        <v>0</v>
      </c>
      <c r="J13" s="37">
        <f t="shared" si="0"/>
        <v>0</v>
      </c>
      <c r="K13" s="37">
        <f t="shared" si="0"/>
        <v>0</v>
      </c>
      <c r="L13" s="37">
        <f t="shared" si="0"/>
        <v>0</v>
      </c>
      <c r="M13" s="37">
        <f t="shared" si="0"/>
        <v>0</v>
      </c>
      <c r="N13" s="39"/>
      <c r="O13" s="37">
        <f>SUM(C13:M13)</f>
        <v>0</v>
      </c>
    </row>
    <row r="14" spans="1:15" x14ac:dyDescent="0.35">
      <c r="A14" s="14"/>
      <c r="B14" s="36" t="s">
        <v>28</v>
      </c>
      <c r="C14" s="38">
        <f>C13*70%</f>
        <v>0</v>
      </c>
      <c r="D14" s="38">
        <f t="shared" ref="D14:M14" si="1">D13*70%</f>
        <v>0</v>
      </c>
      <c r="E14" s="38">
        <f t="shared" si="1"/>
        <v>0</v>
      </c>
      <c r="F14" s="38">
        <f t="shared" si="1"/>
        <v>0</v>
      </c>
      <c r="G14" s="38">
        <f t="shared" si="1"/>
        <v>0</v>
      </c>
      <c r="H14" s="38">
        <f t="shared" si="1"/>
        <v>0</v>
      </c>
      <c r="I14" s="38">
        <f t="shared" si="1"/>
        <v>0</v>
      </c>
      <c r="J14" s="38">
        <f t="shared" si="1"/>
        <v>0</v>
      </c>
      <c r="K14" s="38">
        <f t="shared" si="1"/>
        <v>0</v>
      </c>
      <c r="L14" s="38">
        <f t="shared" si="1"/>
        <v>0</v>
      </c>
      <c r="M14" s="38">
        <f t="shared" si="1"/>
        <v>0</v>
      </c>
      <c r="N14" s="40"/>
      <c r="O14" s="38">
        <f t="shared" ref="O14" si="2">O13*70%</f>
        <v>0</v>
      </c>
    </row>
    <row r="15" spans="1:15" x14ac:dyDescent="0.35">
      <c r="A15" s="14"/>
    </row>
    <row r="16" spans="1:15" x14ac:dyDescent="0.35">
      <c r="A16" s="14"/>
      <c r="B16" s="74" t="s">
        <v>29</v>
      </c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6"/>
    </row>
    <row r="17" spans="1:15" x14ac:dyDescent="0.35">
      <c r="A17" s="14"/>
      <c r="B17" s="77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9"/>
    </row>
    <row r="18" spans="1:15" x14ac:dyDescent="0.35">
      <c r="A18" s="14"/>
      <c r="B18" s="36" t="s">
        <v>25</v>
      </c>
      <c r="C18" s="38">
        <v>658862.13</v>
      </c>
      <c r="D18" s="38">
        <v>591410.56000000006</v>
      </c>
      <c r="E18" s="38">
        <v>457060</v>
      </c>
      <c r="F18" s="38">
        <v>458227.43</v>
      </c>
      <c r="G18" s="38" t="s">
        <v>23</v>
      </c>
      <c r="H18" s="38" t="s">
        <v>23</v>
      </c>
      <c r="I18" s="38" t="s">
        <v>23</v>
      </c>
      <c r="J18" s="38" t="s">
        <v>23</v>
      </c>
      <c r="K18" s="38" t="s">
        <v>23</v>
      </c>
      <c r="L18" s="38" t="s">
        <v>23</v>
      </c>
      <c r="M18" s="38" t="s">
        <v>23</v>
      </c>
      <c r="N18" s="39"/>
      <c r="O18" s="37">
        <f>SUM(C18:M18)</f>
        <v>2165560.12</v>
      </c>
    </row>
    <row r="19" spans="1:15" x14ac:dyDescent="0.35">
      <c r="A19" s="14"/>
      <c r="B19" s="36" t="s">
        <v>26</v>
      </c>
      <c r="C19" s="38" t="s">
        <v>23</v>
      </c>
      <c r="D19" s="38" t="s">
        <v>23</v>
      </c>
      <c r="E19" s="38" t="s">
        <v>23</v>
      </c>
      <c r="F19" s="38" t="s">
        <v>23</v>
      </c>
      <c r="G19" s="38" t="s">
        <v>23</v>
      </c>
      <c r="H19" s="38" t="s">
        <v>23</v>
      </c>
      <c r="I19" s="38" t="s">
        <v>23</v>
      </c>
      <c r="J19" s="38" t="s">
        <v>23</v>
      </c>
      <c r="K19" s="38" t="s">
        <v>23</v>
      </c>
      <c r="L19" s="38" t="s">
        <v>23</v>
      </c>
      <c r="M19" s="38" t="s">
        <v>23</v>
      </c>
      <c r="N19" s="39"/>
      <c r="O19" s="37">
        <f>SUM(C19:M19)</f>
        <v>0</v>
      </c>
    </row>
    <row r="20" spans="1:15" x14ac:dyDescent="0.35">
      <c r="A20" s="14"/>
      <c r="B20" s="36" t="s">
        <v>37</v>
      </c>
      <c r="C20" s="37">
        <f t="shared" ref="C20:M20" si="3">SUM(C18:C19)</f>
        <v>658862.13</v>
      </c>
      <c r="D20" s="37">
        <f t="shared" si="3"/>
        <v>591410.56000000006</v>
      </c>
      <c r="E20" s="37">
        <f t="shared" si="3"/>
        <v>457060</v>
      </c>
      <c r="F20" s="37">
        <f t="shared" si="3"/>
        <v>458227.43</v>
      </c>
      <c r="G20" s="37">
        <f t="shared" si="3"/>
        <v>0</v>
      </c>
      <c r="H20" s="37">
        <f t="shared" si="3"/>
        <v>0</v>
      </c>
      <c r="I20" s="37">
        <f t="shared" si="3"/>
        <v>0</v>
      </c>
      <c r="J20" s="37">
        <f t="shared" si="3"/>
        <v>0</v>
      </c>
      <c r="K20" s="37">
        <f t="shared" si="3"/>
        <v>0</v>
      </c>
      <c r="L20" s="37">
        <f t="shared" si="3"/>
        <v>0</v>
      </c>
      <c r="M20" s="37">
        <f t="shared" si="3"/>
        <v>0</v>
      </c>
      <c r="N20" s="39"/>
      <c r="O20" s="37">
        <f>SUM(C20:M20)</f>
        <v>2165560.12</v>
      </c>
    </row>
    <row r="21" spans="1:15" x14ac:dyDescent="0.35">
      <c r="A21" s="14"/>
      <c r="B21" s="36" t="s">
        <v>28</v>
      </c>
      <c r="C21" s="38">
        <f>C20*70%</f>
        <v>461203.49099999998</v>
      </c>
      <c r="D21" s="38">
        <f t="shared" ref="D21:M21" si="4">D20*70%</f>
        <v>413987.39199999999</v>
      </c>
      <c r="E21" s="38">
        <f t="shared" si="4"/>
        <v>319942</v>
      </c>
      <c r="F21" s="38">
        <f t="shared" si="4"/>
        <v>320759.201</v>
      </c>
      <c r="G21" s="38">
        <f t="shared" si="4"/>
        <v>0</v>
      </c>
      <c r="H21" s="38">
        <f t="shared" si="4"/>
        <v>0</v>
      </c>
      <c r="I21" s="38">
        <f t="shared" si="4"/>
        <v>0</v>
      </c>
      <c r="J21" s="38">
        <f t="shared" si="4"/>
        <v>0</v>
      </c>
      <c r="K21" s="38">
        <f t="shared" si="4"/>
        <v>0</v>
      </c>
      <c r="L21" s="38">
        <f t="shared" si="4"/>
        <v>0</v>
      </c>
      <c r="M21" s="38">
        <f t="shared" si="4"/>
        <v>0</v>
      </c>
      <c r="N21" s="40"/>
      <c r="O21" s="38">
        <f t="shared" ref="O21" si="5">O20*70%</f>
        <v>1515892.084</v>
      </c>
    </row>
    <row r="22" spans="1:15" ht="15" thickBot="1" x14ac:dyDescent="0.4">
      <c r="A22" s="14"/>
    </row>
    <row r="23" spans="1:15" x14ac:dyDescent="0.35">
      <c r="A23" s="14"/>
      <c r="B23" s="41" t="s">
        <v>35</v>
      </c>
      <c r="C23" s="42">
        <f t="shared" ref="C23:M23" si="6">C14+C21</f>
        <v>461203.49099999998</v>
      </c>
      <c r="D23" s="42">
        <f t="shared" si="6"/>
        <v>413987.39199999999</v>
      </c>
      <c r="E23" s="42">
        <f t="shared" si="6"/>
        <v>319942</v>
      </c>
      <c r="F23" s="42">
        <f t="shared" si="6"/>
        <v>320759.201</v>
      </c>
      <c r="G23" s="42">
        <f t="shared" si="6"/>
        <v>0</v>
      </c>
      <c r="H23" s="42">
        <f t="shared" si="6"/>
        <v>0</v>
      </c>
      <c r="I23" s="42">
        <f t="shared" si="6"/>
        <v>0</v>
      </c>
      <c r="J23" s="42">
        <f t="shared" si="6"/>
        <v>0</v>
      </c>
      <c r="K23" s="42">
        <f t="shared" si="6"/>
        <v>0</v>
      </c>
      <c r="L23" s="42">
        <f t="shared" si="6"/>
        <v>0</v>
      </c>
      <c r="M23" s="42">
        <f t="shared" si="6"/>
        <v>0</v>
      </c>
      <c r="N23" s="43"/>
      <c r="O23" s="44">
        <f>O14+O21</f>
        <v>1515892.084</v>
      </c>
    </row>
    <row r="24" spans="1:15" ht="15" thickBot="1" x14ac:dyDescent="0.4">
      <c r="A24" s="14"/>
      <c r="B24" s="45" t="s">
        <v>36</v>
      </c>
      <c r="C24" s="46">
        <f>C23*5%</f>
        <v>23060.17455</v>
      </c>
      <c r="D24" s="46">
        <f t="shared" ref="D24:O24" si="7">D23*5%</f>
        <v>20699.369600000002</v>
      </c>
      <c r="E24" s="46">
        <f t="shared" si="7"/>
        <v>15997.1</v>
      </c>
      <c r="F24" s="46">
        <f t="shared" si="7"/>
        <v>16037.960050000002</v>
      </c>
      <c r="G24" s="46">
        <f t="shared" si="7"/>
        <v>0</v>
      </c>
      <c r="H24" s="46">
        <f t="shared" si="7"/>
        <v>0</v>
      </c>
      <c r="I24" s="46">
        <f t="shared" si="7"/>
        <v>0</v>
      </c>
      <c r="J24" s="46">
        <f t="shared" si="7"/>
        <v>0</v>
      </c>
      <c r="K24" s="46">
        <f t="shared" si="7"/>
        <v>0</v>
      </c>
      <c r="L24" s="46">
        <f t="shared" si="7"/>
        <v>0</v>
      </c>
      <c r="M24" s="46">
        <f t="shared" si="7"/>
        <v>0</v>
      </c>
      <c r="N24" s="47"/>
      <c r="O24" s="48">
        <f t="shared" si="7"/>
        <v>75794.604200000002</v>
      </c>
    </row>
    <row r="25" spans="1:15" x14ac:dyDescent="0.3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x14ac:dyDescent="0.3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9" spans="1:15" ht="34" customHeight="1" x14ac:dyDescent="0.35">
      <c r="A29" s="114" t="s">
        <v>121</v>
      </c>
      <c r="B29" s="113" t="s">
        <v>126</v>
      </c>
    </row>
    <row r="30" spans="1:15" ht="14" customHeight="1" x14ac:dyDescent="0.35">
      <c r="A30" s="114" t="s">
        <v>122</v>
      </c>
      <c r="B30" s="113" t="s">
        <v>125</v>
      </c>
    </row>
    <row r="31" spans="1:15" x14ac:dyDescent="0.35">
      <c r="A31" s="114" t="s">
        <v>123</v>
      </c>
      <c r="B31" s="113" t="s">
        <v>118</v>
      </c>
    </row>
    <row r="32" spans="1:15" x14ac:dyDescent="0.35">
      <c r="A32" s="114" t="s">
        <v>124</v>
      </c>
      <c r="B32" s="113" t="s">
        <v>127</v>
      </c>
    </row>
    <row r="33" spans="1:2" x14ac:dyDescent="0.35">
      <c r="A33" s="114" t="s">
        <v>129</v>
      </c>
      <c r="B33" s="113" t="s">
        <v>128</v>
      </c>
    </row>
  </sheetData>
  <mergeCells count="6">
    <mergeCell ref="B16:O17"/>
    <mergeCell ref="C7:D7"/>
    <mergeCell ref="E7:G7"/>
    <mergeCell ref="H7:J7"/>
    <mergeCell ref="K7:M7"/>
    <mergeCell ref="B9:O10"/>
  </mergeCells>
  <pageMargins left="0.7" right="0.7" top="0.75" bottom="0.75" header="0.3" footer="0.3"/>
  <pageSetup paperSize="9" scale="56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D1A36-4059-43DF-8595-53A3ECF0989C}">
  <sheetPr>
    <pageSetUpPr fitToPage="1"/>
  </sheetPr>
  <dimension ref="B2:Q67"/>
  <sheetViews>
    <sheetView topLeftCell="A34" zoomScale="55" zoomScaleNormal="55" workbookViewId="0">
      <selection activeCell="C67" sqref="C67"/>
    </sheetView>
  </sheetViews>
  <sheetFormatPr defaultRowHeight="14.5" x14ac:dyDescent="0.35"/>
  <cols>
    <col min="3" max="3" width="35.08984375" customWidth="1"/>
    <col min="5" max="5" width="41.6328125" bestFit="1" customWidth="1"/>
    <col min="6" max="6" width="18.7265625" customWidth="1"/>
    <col min="7" max="7" width="16.1796875" customWidth="1"/>
    <col min="8" max="8" width="16.6328125" bestFit="1" customWidth="1"/>
    <col min="9" max="9" width="16" bestFit="1" customWidth="1"/>
    <col min="10" max="10" width="24.54296875" bestFit="1" customWidth="1"/>
    <col min="11" max="11" width="13.453125" bestFit="1" customWidth="1"/>
    <col min="12" max="12" width="20.36328125" customWidth="1"/>
    <col min="13" max="13" width="9.90625" bestFit="1" customWidth="1"/>
    <col min="14" max="14" width="15.6328125" bestFit="1" customWidth="1"/>
    <col min="15" max="15" width="14.26953125" bestFit="1" customWidth="1"/>
    <col min="16" max="16" width="18.1796875" bestFit="1" customWidth="1"/>
  </cols>
  <sheetData>
    <row r="2" spans="2:17" x14ac:dyDescent="0.35"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2:17" x14ac:dyDescent="0.35">
      <c r="B3" s="80" t="s">
        <v>10</v>
      </c>
      <c r="C3" s="80"/>
      <c r="D3" s="81" t="s">
        <v>49</v>
      </c>
      <c r="E3" s="81"/>
      <c r="F3" s="81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spans="2:17" x14ac:dyDescent="0.35">
      <c r="B4" s="80" t="s">
        <v>11</v>
      </c>
      <c r="C4" s="80"/>
      <c r="D4" s="82"/>
      <c r="E4" s="82"/>
      <c r="F4" s="82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2:17" x14ac:dyDescent="0.3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spans="2:17" ht="21.5" thickBot="1" x14ac:dyDescent="0.4">
      <c r="B6" s="83" t="s">
        <v>50</v>
      </c>
      <c r="C6" s="83"/>
      <c r="D6" s="83"/>
      <c r="E6" s="83"/>
      <c r="F6" s="83"/>
      <c r="G6" s="84"/>
      <c r="H6" s="84"/>
      <c r="I6" s="84"/>
      <c r="J6" s="84"/>
      <c r="K6" s="84"/>
      <c r="L6" s="84"/>
      <c r="M6" s="84"/>
      <c r="N6" s="83"/>
      <c r="O6" s="83"/>
      <c r="P6" s="83"/>
      <c r="Q6" s="14"/>
    </row>
    <row r="7" spans="2:17" ht="21" x14ac:dyDescent="0.35">
      <c r="B7" s="85"/>
      <c r="C7" s="86"/>
      <c r="D7" s="86"/>
      <c r="E7" s="86"/>
      <c r="F7" s="87"/>
      <c r="G7" s="91" t="s">
        <v>13</v>
      </c>
      <c r="H7" s="92"/>
      <c r="I7" s="92"/>
      <c r="J7" s="92"/>
      <c r="K7" s="93"/>
      <c r="L7" s="55"/>
      <c r="M7" s="94"/>
      <c r="N7" s="95"/>
      <c r="O7" s="95"/>
      <c r="P7" s="96"/>
      <c r="Q7" s="14"/>
    </row>
    <row r="8" spans="2:17" ht="21" x14ac:dyDescent="0.35">
      <c r="B8" s="88"/>
      <c r="C8" s="89"/>
      <c r="D8" s="89"/>
      <c r="E8" s="89"/>
      <c r="F8" s="90"/>
      <c r="G8" s="100" t="s">
        <v>19</v>
      </c>
      <c r="H8" s="101"/>
      <c r="I8" s="101"/>
      <c r="J8" s="102"/>
      <c r="K8" s="35"/>
      <c r="L8" s="56"/>
      <c r="M8" s="97"/>
      <c r="N8" s="98"/>
      <c r="O8" s="98"/>
      <c r="P8" s="99"/>
      <c r="Q8" s="14"/>
    </row>
    <row r="9" spans="2:17" ht="15.5" x14ac:dyDescent="0.35">
      <c r="B9" s="27" t="s">
        <v>0</v>
      </c>
      <c r="C9" s="27" t="s">
        <v>1</v>
      </c>
      <c r="D9" s="27" t="s">
        <v>2</v>
      </c>
      <c r="E9" s="27" t="s">
        <v>3</v>
      </c>
      <c r="F9" s="30" t="s">
        <v>7</v>
      </c>
      <c r="G9" s="27" t="s">
        <v>15</v>
      </c>
      <c r="H9" s="27" t="s">
        <v>16</v>
      </c>
      <c r="I9" s="27" t="s">
        <v>17</v>
      </c>
      <c r="J9" s="27" t="s">
        <v>120</v>
      </c>
      <c r="K9" s="30" t="s">
        <v>4</v>
      </c>
      <c r="L9" s="27" t="s">
        <v>119</v>
      </c>
      <c r="M9" s="32" t="s">
        <v>14</v>
      </c>
      <c r="N9" s="28" t="s">
        <v>5</v>
      </c>
      <c r="O9" s="27" t="s">
        <v>6</v>
      </c>
      <c r="P9" s="29" t="s">
        <v>9</v>
      </c>
      <c r="Q9" s="14"/>
    </row>
    <row r="10" spans="2:17" ht="39.5" customHeight="1" x14ac:dyDescent="0.35">
      <c r="B10" s="5">
        <v>1</v>
      </c>
      <c r="C10" s="1" t="s">
        <v>38</v>
      </c>
      <c r="D10" s="111" t="s">
        <v>43</v>
      </c>
      <c r="E10" s="54" t="s">
        <v>49</v>
      </c>
      <c r="F10" s="31" t="s">
        <v>53</v>
      </c>
      <c r="G10" s="6"/>
      <c r="H10" s="6"/>
      <c r="I10" s="9">
        <v>20524.23</v>
      </c>
      <c r="J10" s="9">
        <v>9685.48</v>
      </c>
      <c r="K10" s="57"/>
      <c r="L10" s="9">
        <v>619.45000000000005</v>
      </c>
      <c r="M10" s="33"/>
      <c r="N10" s="16">
        <v>30829.16</v>
      </c>
      <c r="O10" s="12">
        <f>N10*5%</f>
        <v>1541.4580000000001</v>
      </c>
      <c r="P10" s="11">
        <f>N10*70%</f>
        <v>21580.412</v>
      </c>
      <c r="Q10" s="14"/>
    </row>
    <row r="11" spans="2:17" ht="28.5" customHeight="1" x14ac:dyDescent="0.35">
      <c r="B11" s="5">
        <v>2</v>
      </c>
      <c r="C11" s="1" t="s">
        <v>39</v>
      </c>
      <c r="D11" s="4" t="s">
        <v>44</v>
      </c>
      <c r="E11" s="54" t="s">
        <v>49</v>
      </c>
      <c r="F11" s="31" t="s">
        <v>54</v>
      </c>
      <c r="G11" s="9">
        <v>1652.31</v>
      </c>
      <c r="H11" s="9">
        <v>10808.85</v>
      </c>
      <c r="I11" s="9">
        <v>195889.05</v>
      </c>
      <c r="J11" s="9">
        <v>18814.28</v>
      </c>
      <c r="K11" s="57"/>
      <c r="L11" s="59"/>
      <c r="M11" s="33"/>
      <c r="N11" s="16">
        <v>227164.49</v>
      </c>
      <c r="O11" s="12">
        <f t="shared" ref="O11:O14" si="0">N11*5%</f>
        <v>11358.2245</v>
      </c>
      <c r="P11" s="11">
        <f t="shared" ref="P11:P14" si="1">N11*70%</f>
        <v>159015.14299999998</v>
      </c>
      <c r="Q11" s="14"/>
    </row>
    <row r="12" spans="2:17" x14ac:dyDescent="0.35">
      <c r="B12" s="5">
        <v>3</v>
      </c>
      <c r="C12" s="1" t="s">
        <v>40</v>
      </c>
      <c r="D12" s="4" t="s">
        <v>45</v>
      </c>
      <c r="E12" s="54" t="s">
        <v>49</v>
      </c>
      <c r="F12" s="31" t="s">
        <v>48</v>
      </c>
      <c r="G12" s="6"/>
      <c r="H12" s="6"/>
      <c r="I12" s="9">
        <v>20524.23</v>
      </c>
      <c r="J12" s="9"/>
      <c r="K12" s="57"/>
      <c r="L12" s="59"/>
      <c r="M12" s="33"/>
      <c r="N12" s="16">
        <v>20524.23</v>
      </c>
      <c r="O12" s="12">
        <f t="shared" si="0"/>
        <v>1026.2115000000001</v>
      </c>
      <c r="P12" s="11">
        <f t="shared" si="1"/>
        <v>14366.960999999999</v>
      </c>
      <c r="Q12" s="14"/>
    </row>
    <row r="13" spans="2:17" ht="26.5" x14ac:dyDescent="0.35">
      <c r="B13" s="5">
        <v>4</v>
      </c>
      <c r="C13" s="1" t="s">
        <v>41</v>
      </c>
      <c r="D13" s="4" t="s">
        <v>46</v>
      </c>
      <c r="E13" s="54" t="s">
        <v>49</v>
      </c>
      <c r="F13" s="31" t="s">
        <v>48</v>
      </c>
      <c r="G13" s="6"/>
      <c r="H13" s="6"/>
      <c r="I13" s="9">
        <v>43076.19</v>
      </c>
      <c r="J13" s="9"/>
      <c r="K13" s="57"/>
      <c r="L13" s="59"/>
      <c r="M13" s="33"/>
      <c r="N13" s="16">
        <v>43076.19</v>
      </c>
      <c r="O13" s="12">
        <f t="shared" si="0"/>
        <v>2153.8095000000003</v>
      </c>
      <c r="P13" s="11">
        <f t="shared" si="1"/>
        <v>30153.332999999999</v>
      </c>
      <c r="Q13" s="14"/>
    </row>
    <row r="14" spans="2:17" ht="26.5" x14ac:dyDescent="0.35">
      <c r="B14" s="5">
        <v>5</v>
      </c>
      <c r="C14" s="1" t="s">
        <v>42</v>
      </c>
      <c r="D14" s="4" t="s">
        <v>47</v>
      </c>
      <c r="E14" s="54" t="s">
        <v>49</v>
      </c>
      <c r="F14" s="31" t="s">
        <v>48</v>
      </c>
      <c r="G14" s="6"/>
      <c r="H14" s="6"/>
      <c r="I14" s="9">
        <v>23281.11</v>
      </c>
      <c r="J14" s="10"/>
      <c r="K14" s="57"/>
      <c r="L14" s="59"/>
      <c r="M14" s="33"/>
      <c r="N14" s="16">
        <v>23281.11</v>
      </c>
      <c r="O14" s="12">
        <f t="shared" si="0"/>
        <v>1164.0555000000002</v>
      </c>
      <c r="P14" s="11">
        <f t="shared" si="1"/>
        <v>16296.777</v>
      </c>
      <c r="Q14" s="14"/>
    </row>
    <row r="15" spans="2:17" ht="26.5" x14ac:dyDescent="0.35">
      <c r="B15" s="5">
        <v>6</v>
      </c>
      <c r="C15" s="1" t="s">
        <v>55</v>
      </c>
      <c r="D15" s="4" t="s">
        <v>56</v>
      </c>
      <c r="E15" s="54" t="s">
        <v>49</v>
      </c>
      <c r="F15" s="31" t="s">
        <v>48</v>
      </c>
      <c r="G15" s="6"/>
      <c r="H15" s="6"/>
      <c r="I15" s="9">
        <v>54865.72</v>
      </c>
      <c r="J15" s="10"/>
      <c r="K15" s="57"/>
      <c r="L15" s="59"/>
      <c r="M15" s="33"/>
      <c r="N15" s="16">
        <v>54865.72</v>
      </c>
      <c r="O15" s="12">
        <f t="shared" ref="O15:O59" si="2">N15*5%</f>
        <v>2743.2860000000001</v>
      </c>
      <c r="P15" s="11">
        <f t="shared" ref="P15:P59" si="3">N15*70%</f>
        <v>38406.004000000001</v>
      </c>
      <c r="Q15" s="14"/>
    </row>
    <row r="16" spans="2:17" ht="26.5" x14ac:dyDescent="0.35">
      <c r="B16" s="5">
        <v>7</v>
      </c>
      <c r="C16" s="1" t="s">
        <v>57</v>
      </c>
      <c r="D16" s="4" t="s">
        <v>58</v>
      </c>
      <c r="E16" s="54" t="s">
        <v>49</v>
      </c>
      <c r="F16" s="31" t="s">
        <v>48</v>
      </c>
      <c r="G16" s="6"/>
      <c r="H16" s="6"/>
      <c r="I16" s="9">
        <v>43118.38</v>
      </c>
      <c r="J16" s="10"/>
      <c r="K16" s="57"/>
      <c r="L16" s="59"/>
      <c r="M16" s="33"/>
      <c r="N16" s="16">
        <v>43118.38</v>
      </c>
      <c r="O16" s="12">
        <f t="shared" si="2"/>
        <v>2155.9189999999999</v>
      </c>
      <c r="P16" s="11">
        <f t="shared" si="3"/>
        <v>30182.865999999995</v>
      </c>
      <c r="Q16" s="14"/>
    </row>
    <row r="17" spans="2:17" ht="26.5" x14ac:dyDescent="0.35">
      <c r="B17" s="5">
        <v>8</v>
      </c>
      <c r="C17" s="1" t="s">
        <v>59</v>
      </c>
      <c r="D17" s="4" t="s">
        <v>45</v>
      </c>
      <c r="E17" s="54" t="s">
        <v>49</v>
      </c>
      <c r="F17" s="31" t="s">
        <v>48</v>
      </c>
      <c r="G17" s="6"/>
      <c r="H17" s="6"/>
      <c r="I17" s="9">
        <v>10003.469999999999</v>
      </c>
      <c r="J17" s="10"/>
      <c r="K17" s="57"/>
      <c r="L17" s="59"/>
      <c r="M17" s="33"/>
      <c r="N17" s="16">
        <v>10003.469999999999</v>
      </c>
      <c r="O17" s="12">
        <f t="shared" si="2"/>
        <v>500.17349999999999</v>
      </c>
      <c r="P17" s="11">
        <f t="shared" si="3"/>
        <v>7002.4289999999992</v>
      </c>
      <c r="Q17" s="14"/>
    </row>
    <row r="18" spans="2:17" ht="26.5" x14ac:dyDescent="0.35">
      <c r="B18" s="5">
        <v>9</v>
      </c>
      <c r="C18" s="1" t="s">
        <v>60</v>
      </c>
      <c r="D18" s="4" t="s">
        <v>61</v>
      </c>
      <c r="E18" s="54" t="s">
        <v>49</v>
      </c>
      <c r="F18" s="31" t="s">
        <v>48</v>
      </c>
      <c r="G18" s="6"/>
      <c r="H18" s="6"/>
      <c r="I18" s="9">
        <v>16750.04</v>
      </c>
      <c r="J18" s="10"/>
      <c r="K18" s="57"/>
      <c r="L18" s="59"/>
      <c r="M18" s="33"/>
      <c r="N18" s="16">
        <v>16750.04</v>
      </c>
      <c r="O18" s="12">
        <f t="shared" si="2"/>
        <v>837.50200000000007</v>
      </c>
      <c r="P18" s="11">
        <f t="shared" si="3"/>
        <v>11725.028</v>
      </c>
      <c r="Q18" s="14"/>
    </row>
    <row r="19" spans="2:17" ht="26.5" x14ac:dyDescent="0.35">
      <c r="B19" s="5">
        <v>10</v>
      </c>
      <c r="C19" s="1" t="s">
        <v>62</v>
      </c>
      <c r="D19" s="4" t="s">
        <v>47</v>
      </c>
      <c r="E19" s="54" t="s">
        <v>49</v>
      </c>
      <c r="F19" s="31" t="s">
        <v>18</v>
      </c>
      <c r="G19" s="6"/>
      <c r="H19" s="6"/>
      <c r="I19" s="6"/>
      <c r="J19" s="10">
        <v>5065.6400000000003</v>
      </c>
      <c r="K19" s="57"/>
      <c r="L19" s="9">
        <v>1290.52</v>
      </c>
      <c r="M19" s="33"/>
      <c r="N19" s="16">
        <v>6356.16</v>
      </c>
      <c r="O19" s="12">
        <f t="shared" si="2"/>
        <v>317.80799999999999</v>
      </c>
      <c r="P19" s="11">
        <f t="shared" si="3"/>
        <v>4449.3119999999999</v>
      </c>
      <c r="Q19" s="14"/>
    </row>
    <row r="20" spans="2:17" ht="26.5" x14ac:dyDescent="0.35">
      <c r="B20" s="5">
        <v>11</v>
      </c>
      <c r="C20" s="1" t="s">
        <v>63</v>
      </c>
      <c r="D20" s="4" t="s">
        <v>64</v>
      </c>
      <c r="E20" s="54" t="s">
        <v>49</v>
      </c>
      <c r="F20" s="31" t="s">
        <v>18</v>
      </c>
      <c r="G20" s="6"/>
      <c r="H20" s="6"/>
      <c r="I20" s="6"/>
      <c r="J20" s="10">
        <v>5016.01</v>
      </c>
      <c r="K20" s="57"/>
      <c r="L20" s="9">
        <v>645.26</v>
      </c>
      <c r="M20" s="33"/>
      <c r="N20" s="16">
        <v>5661.27</v>
      </c>
      <c r="O20" s="12">
        <f t="shared" si="2"/>
        <v>283.06350000000003</v>
      </c>
      <c r="P20" s="11">
        <f t="shared" si="3"/>
        <v>3962.8890000000001</v>
      </c>
      <c r="Q20" s="14"/>
    </row>
    <row r="21" spans="2:17" ht="26.5" x14ac:dyDescent="0.35">
      <c r="B21" s="5">
        <v>12</v>
      </c>
      <c r="C21" s="1" t="s">
        <v>65</v>
      </c>
      <c r="D21" s="4" t="s">
        <v>66</v>
      </c>
      <c r="E21" s="54" t="s">
        <v>49</v>
      </c>
      <c r="F21" s="31" t="s">
        <v>18</v>
      </c>
      <c r="G21" s="6"/>
      <c r="H21" s="6"/>
      <c r="I21" s="6"/>
      <c r="J21" s="10">
        <v>4842.74</v>
      </c>
      <c r="K21" s="57"/>
      <c r="L21" s="9">
        <v>619.45000000000005</v>
      </c>
      <c r="M21" s="33"/>
      <c r="N21" s="16">
        <v>5462.19</v>
      </c>
      <c r="O21" s="12">
        <f t="shared" si="2"/>
        <v>273.10949999999997</v>
      </c>
      <c r="P21" s="11">
        <f t="shared" si="3"/>
        <v>3823.5329999999994</v>
      </c>
      <c r="Q21" s="14"/>
    </row>
    <row r="22" spans="2:17" ht="26.5" x14ac:dyDescent="0.35">
      <c r="B22" s="5">
        <v>13</v>
      </c>
      <c r="C22" s="1" t="s">
        <v>67</v>
      </c>
      <c r="D22" s="4" t="s">
        <v>64</v>
      </c>
      <c r="E22" s="54" t="s">
        <v>49</v>
      </c>
      <c r="F22" s="31" t="s">
        <v>18</v>
      </c>
      <c r="G22" s="6"/>
      <c r="H22" s="6"/>
      <c r="I22" s="6"/>
      <c r="J22" s="10">
        <v>4865.6400000000003</v>
      </c>
      <c r="K22" s="57"/>
      <c r="L22" s="59"/>
      <c r="M22" s="33"/>
      <c r="N22" s="16">
        <v>4865.6400000000003</v>
      </c>
      <c r="O22" s="12">
        <f t="shared" si="2"/>
        <v>243.28200000000004</v>
      </c>
      <c r="P22" s="11">
        <f t="shared" si="3"/>
        <v>3405.9479999999999</v>
      </c>
      <c r="Q22" s="14"/>
    </row>
    <row r="23" spans="2:17" ht="32" customHeight="1" x14ac:dyDescent="0.35">
      <c r="B23" s="5">
        <v>14</v>
      </c>
      <c r="C23" s="1" t="s">
        <v>68</v>
      </c>
      <c r="D23" s="4" t="s">
        <v>69</v>
      </c>
      <c r="E23" s="54" t="s">
        <v>49</v>
      </c>
      <c r="F23" s="31" t="s">
        <v>54</v>
      </c>
      <c r="G23" s="6"/>
      <c r="H23" s="9">
        <v>21975.08</v>
      </c>
      <c r="I23" s="6"/>
      <c r="J23" s="10"/>
      <c r="K23" s="57"/>
      <c r="L23" s="59"/>
      <c r="M23" s="33"/>
      <c r="N23" s="16">
        <v>21975.08</v>
      </c>
      <c r="O23" s="12">
        <f t="shared" si="2"/>
        <v>1098.7540000000001</v>
      </c>
      <c r="P23" s="11">
        <f t="shared" si="3"/>
        <v>15382.556</v>
      </c>
      <c r="Q23" s="14"/>
    </row>
    <row r="24" spans="2:17" ht="26.5" x14ac:dyDescent="0.35">
      <c r="B24" s="5">
        <v>15</v>
      </c>
      <c r="C24" s="1" t="s">
        <v>70</v>
      </c>
      <c r="D24" s="4" t="s">
        <v>71</v>
      </c>
      <c r="E24" s="54" t="s">
        <v>49</v>
      </c>
      <c r="F24" s="31" t="s">
        <v>18</v>
      </c>
      <c r="G24" s="6"/>
      <c r="H24" s="6"/>
      <c r="I24" s="6"/>
      <c r="J24" s="10">
        <v>7690.85</v>
      </c>
      <c r="K24" s="57"/>
      <c r="L24" s="9">
        <v>4336.16</v>
      </c>
      <c r="M24" s="33"/>
      <c r="N24" s="16">
        <v>12027.01</v>
      </c>
      <c r="O24" s="12">
        <f t="shared" si="2"/>
        <v>601.35050000000001</v>
      </c>
      <c r="P24" s="11">
        <f t="shared" si="3"/>
        <v>8418.9069999999992</v>
      </c>
    </row>
    <row r="25" spans="2:17" ht="26.5" x14ac:dyDescent="0.35">
      <c r="B25" s="5">
        <v>16</v>
      </c>
      <c r="C25" s="1" t="s">
        <v>72</v>
      </c>
      <c r="D25" s="4" t="s">
        <v>71</v>
      </c>
      <c r="E25" s="54" t="s">
        <v>49</v>
      </c>
      <c r="F25" s="31" t="s">
        <v>18</v>
      </c>
      <c r="G25" s="6"/>
      <c r="H25" s="6"/>
      <c r="I25" s="6"/>
      <c r="J25" s="10">
        <v>4865.6400000000003</v>
      </c>
      <c r="K25" s="57"/>
      <c r="L25" s="9">
        <v>1858.35</v>
      </c>
      <c r="M25" s="33"/>
      <c r="N25" s="16">
        <v>6723.99</v>
      </c>
      <c r="O25" s="12">
        <f t="shared" si="2"/>
        <v>336.1995</v>
      </c>
      <c r="P25" s="11">
        <f t="shared" si="3"/>
        <v>4706.7929999999997</v>
      </c>
    </row>
    <row r="26" spans="2:17" ht="26.5" x14ac:dyDescent="0.35">
      <c r="B26" s="5">
        <v>17</v>
      </c>
      <c r="C26" s="1" t="s">
        <v>73</v>
      </c>
      <c r="D26" s="4" t="s">
        <v>74</v>
      </c>
      <c r="E26" s="54" t="s">
        <v>49</v>
      </c>
      <c r="F26" s="31" t="s">
        <v>18</v>
      </c>
      <c r="G26" s="6"/>
      <c r="H26" s="6"/>
      <c r="I26" s="6"/>
      <c r="J26" s="10">
        <v>14596.92</v>
      </c>
      <c r="K26" s="57"/>
      <c r="L26" s="9">
        <v>4955.6099999999997</v>
      </c>
      <c r="M26" s="33"/>
      <c r="N26" s="16">
        <v>19552.53</v>
      </c>
      <c r="O26" s="12">
        <f t="shared" si="2"/>
        <v>977.62649999999996</v>
      </c>
      <c r="P26" s="11">
        <f t="shared" si="3"/>
        <v>13686.770999999999</v>
      </c>
    </row>
    <row r="27" spans="2:17" ht="26.5" x14ac:dyDescent="0.35">
      <c r="B27" s="5">
        <v>18</v>
      </c>
      <c r="C27" s="1" t="s">
        <v>75</v>
      </c>
      <c r="D27" s="4" t="s">
        <v>76</v>
      </c>
      <c r="E27" s="54" t="s">
        <v>49</v>
      </c>
      <c r="F27" s="31" t="s">
        <v>18</v>
      </c>
      <c r="G27" s="6"/>
      <c r="H27" s="6"/>
      <c r="I27" s="6"/>
      <c r="J27" s="10">
        <v>4865.6400000000003</v>
      </c>
      <c r="K27" s="57"/>
      <c r="L27" s="9">
        <v>1238.9000000000001</v>
      </c>
      <c r="M27" s="33"/>
      <c r="N27" s="16">
        <v>6104.54</v>
      </c>
      <c r="O27" s="12">
        <f t="shared" si="2"/>
        <v>305.22700000000003</v>
      </c>
      <c r="P27" s="11">
        <f t="shared" si="3"/>
        <v>4273.1779999999999</v>
      </c>
    </row>
    <row r="28" spans="2:17" ht="52.5" x14ac:dyDescent="0.35">
      <c r="B28" s="5">
        <v>19</v>
      </c>
      <c r="C28" s="1" t="s">
        <v>77</v>
      </c>
      <c r="D28" s="4" t="s">
        <v>64</v>
      </c>
      <c r="E28" s="54" t="s">
        <v>49</v>
      </c>
      <c r="F28" s="31" t="s">
        <v>109</v>
      </c>
      <c r="G28" s="6"/>
      <c r="H28" s="9">
        <v>687.64</v>
      </c>
      <c r="I28" s="6"/>
      <c r="J28" s="10">
        <v>3965.64</v>
      </c>
      <c r="K28" s="57"/>
      <c r="L28" s="9">
        <v>1006.64</v>
      </c>
      <c r="M28" s="33"/>
      <c r="N28" s="16">
        <v>5659.92</v>
      </c>
      <c r="O28" s="12">
        <f t="shared" si="2"/>
        <v>282.99600000000004</v>
      </c>
      <c r="P28" s="11">
        <f t="shared" si="3"/>
        <v>3961.944</v>
      </c>
    </row>
    <row r="29" spans="2:17" ht="26.5" x14ac:dyDescent="0.35">
      <c r="B29" s="5">
        <v>20</v>
      </c>
      <c r="C29" s="1" t="s">
        <v>78</v>
      </c>
      <c r="D29" s="4" t="s">
        <v>47</v>
      </c>
      <c r="E29" s="54" t="s">
        <v>49</v>
      </c>
      <c r="F29" s="31" t="s">
        <v>16</v>
      </c>
      <c r="G29" s="6"/>
      <c r="H29" s="9">
        <v>3130</v>
      </c>
      <c r="I29" s="6"/>
      <c r="J29" s="10"/>
      <c r="K29" s="57"/>
      <c r="L29" s="59"/>
      <c r="M29" s="33"/>
      <c r="N29" s="16">
        <v>3130</v>
      </c>
      <c r="O29" s="12">
        <f t="shared" si="2"/>
        <v>156.5</v>
      </c>
      <c r="P29" s="11">
        <f t="shared" si="3"/>
        <v>2191</v>
      </c>
    </row>
    <row r="30" spans="2:17" ht="26.5" x14ac:dyDescent="0.35">
      <c r="B30" s="5">
        <v>21</v>
      </c>
      <c r="C30" s="1" t="s">
        <v>79</v>
      </c>
      <c r="D30" s="4" t="s">
        <v>80</v>
      </c>
      <c r="E30" s="54" t="s">
        <v>49</v>
      </c>
      <c r="F30" s="31" t="s">
        <v>16</v>
      </c>
      <c r="G30" s="6"/>
      <c r="H30" s="9">
        <v>3113.04</v>
      </c>
      <c r="I30" s="6"/>
      <c r="J30" s="10"/>
      <c r="K30" s="57"/>
      <c r="L30" s="59"/>
      <c r="M30" s="33"/>
      <c r="N30" s="16">
        <v>3113.04</v>
      </c>
      <c r="O30" s="12">
        <f t="shared" si="2"/>
        <v>155.65200000000002</v>
      </c>
      <c r="P30" s="11">
        <f t="shared" si="3"/>
        <v>2179.1279999999997</v>
      </c>
    </row>
    <row r="31" spans="2:17" ht="26.5" x14ac:dyDescent="0.35">
      <c r="B31" s="5">
        <v>22</v>
      </c>
      <c r="C31" s="1" t="s">
        <v>81</v>
      </c>
      <c r="D31" s="4" t="s">
        <v>66</v>
      </c>
      <c r="E31" s="54" t="s">
        <v>49</v>
      </c>
      <c r="F31" s="31" t="s">
        <v>16</v>
      </c>
      <c r="G31" s="6"/>
      <c r="H31" s="9">
        <v>1660.29</v>
      </c>
      <c r="I31" s="6"/>
      <c r="J31" s="10"/>
      <c r="K31" s="57"/>
      <c r="L31" s="59"/>
      <c r="M31" s="33"/>
      <c r="N31" s="16">
        <v>1660.29</v>
      </c>
      <c r="O31" s="12">
        <f t="shared" si="2"/>
        <v>83.014499999999998</v>
      </c>
      <c r="P31" s="11">
        <f t="shared" si="3"/>
        <v>1162.203</v>
      </c>
    </row>
    <row r="32" spans="2:17" ht="26.5" x14ac:dyDescent="0.35">
      <c r="B32" s="5">
        <v>23</v>
      </c>
      <c r="C32" s="1" t="s">
        <v>82</v>
      </c>
      <c r="D32" s="4" t="s">
        <v>66</v>
      </c>
      <c r="E32" s="54" t="s">
        <v>49</v>
      </c>
      <c r="F32" s="31" t="s">
        <v>16</v>
      </c>
      <c r="G32" s="6"/>
      <c r="H32" s="9">
        <v>1660.29</v>
      </c>
      <c r="I32" s="6"/>
      <c r="J32" s="10"/>
      <c r="K32" s="57"/>
      <c r="L32" s="59"/>
      <c r="M32" s="33"/>
      <c r="N32" s="16">
        <v>1660.29</v>
      </c>
      <c r="O32" s="12">
        <f t="shared" si="2"/>
        <v>83.014499999999998</v>
      </c>
      <c r="P32" s="11">
        <f t="shared" si="3"/>
        <v>1162.203</v>
      </c>
    </row>
    <row r="33" spans="2:16" x14ac:dyDescent="0.35">
      <c r="B33" s="5">
        <v>24</v>
      </c>
      <c r="C33" s="1" t="s">
        <v>83</v>
      </c>
      <c r="D33" s="4" t="s">
        <v>76</v>
      </c>
      <c r="E33" s="54" t="s">
        <v>49</v>
      </c>
      <c r="F33" s="31" t="s">
        <v>16</v>
      </c>
      <c r="G33" s="6"/>
      <c r="H33" s="9">
        <v>1660.29</v>
      </c>
      <c r="I33" s="6"/>
      <c r="J33" s="10"/>
      <c r="K33" s="57"/>
      <c r="L33" s="59"/>
      <c r="M33" s="33"/>
      <c r="N33" s="16">
        <v>1660.29</v>
      </c>
      <c r="O33" s="12">
        <f t="shared" si="2"/>
        <v>83.014499999999998</v>
      </c>
      <c r="P33" s="11">
        <f t="shared" si="3"/>
        <v>1162.203</v>
      </c>
    </row>
    <row r="34" spans="2:16" ht="30" customHeight="1" x14ac:dyDescent="0.35">
      <c r="B34" s="5">
        <v>25</v>
      </c>
      <c r="C34" s="1" t="s">
        <v>84</v>
      </c>
      <c r="D34" s="60" t="s">
        <v>85</v>
      </c>
      <c r="E34" s="54" t="s">
        <v>49</v>
      </c>
      <c r="F34" s="31" t="s">
        <v>86</v>
      </c>
      <c r="G34" s="9">
        <v>3113.04</v>
      </c>
      <c r="H34" s="9">
        <v>3474.65</v>
      </c>
      <c r="I34" s="6"/>
      <c r="J34" s="10"/>
      <c r="K34" s="57"/>
      <c r="L34" s="59"/>
      <c r="M34" s="33"/>
      <c r="N34" s="16">
        <v>6587.69</v>
      </c>
      <c r="O34" s="12">
        <f t="shared" si="2"/>
        <v>329.3845</v>
      </c>
      <c r="P34" s="11">
        <f t="shared" si="3"/>
        <v>4611.3829999999998</v>
      </c>
    </row>
    <row r="35" spans="2:16" x14ac:dyDescent="0.35">
      <c r="B35" s="5">
        <v>26</v>
      </c>
      <c r="C35" s="1" t="s">
        <v>87</v>
      </c>
      <c r="D35" s="4" t="s">
        <v>76</v>
      </c>
      <c r="E35" s="54" t="s">
        <v>49</v>
      </c>
      <c r="F35" s="31" t="s">
        <v>16</v>
      </c>
      <c r="G35" s="6"/>
      <c r="H35" s="9">
        <v>1660.29</v>
      </c>
      <c r="I35" s="6"/>
      <c r="J35" s="10"/>
      <c r="K35" s="57"/>
      <c r="L35" s="59"/>
      <c r="M35" s="33"/>
      <c r="N35" s="16">
        <v>1660.29</v>
      </c>
      <c r="O35" s="12">
        <f t="shared" si="2"/>
        <v>83.014499999999998</v>
      </c>
      <c r="P35" s="11">
        <f t="shared" si="3"/>
        <v>1162.203</v>
      </c>
    </row>
    <row r="36" spans="2:16" ht="26.5" x14ac:dyDescent="0.35">
      <c r="B36" s="5">
        <v>27</v>
      </c>
      <c r="C36" s="1" t="s">
        <v>88</v>
      </c>
      <c r="D36" s="4" t="s">
        <v>66</v>
      </c>
      <c r="E36" s="54" t="s">
        <v>49</v>
      </c>
      <c r="F36" s="31" t="s">
        <v>16</v>
      </c>
      <c r="G36" s="6"/>
      <c r="H36" s="9">
        <v>1660.29</v>
      </c>
      <c r="I36" s="6"/>
      <c r="J36" s="10"/>
      <c r="K36" s="57"/>
      <c r="L36" s="59"/>
      <c r="M36" s="33"/>
      <c r="N36" s="16">
        <v>1660.29</v>
      </c>
      <c r="O36" s="12">
        <f t="shared" si="2"/>
        <v>83.014499999999998</v>
      </c>
      <c r="P36" s="11">
        <f t="shared" si="3"/>
        <v>1162.203</v>
      </c>
    </row>
    <row r="37" spans="2:16" ht="26.5" x14ac:dyDescent="0.35">
      <c r="B37" s="5">
        <v>28</v>
      </c>
      <c r="C37" s="1" t="s">
        <v>89</v>
      </c>
      <c r="D37" s="4" t="s">
        <v>66</v>
      </c>
      <c r="E37" s="54" t="s">
        <v>49</v>
      </c>
      <c r="F37" s="31" t="s">
        <v>16</v>
      </c>
      <c r="G37" s="6"/>
      <c r="H37" s="9">
        <v>1652.31</v>
      </c>
      <c r="I37" s="6"/>
      <c r="J37" s="10"/>
      <c r="K37" s="57"/>
      <c r="L37" s="59"/>
      <c r="M37" s="33"/>
      <c r="N37" s="16">
        <v>1652.31</v>
      </c>
      <c r="O37" s="12">
        <f t="shared" si="2"/>
        <v>82.615499999999997</v>
      </c>
      <c r="P37" s="11">
        <f t="shared" si="3"/>
        <v>1156.617</v>
      </c>
    </row>
    <row r="38" spans="2:16" ht="26.5" x14ac:dyDescent="0.35">
      <c r="B38" s="5">
        <v>29</v>
      </c>
      <c r="C38" s="1" t="s">
        <v>90</v>
      </c>
      <c r="D38" s="4" t="s">
        <v>47</v>
      </c>
      <c r="E38" s="54" t="s">
        <v>49</v>
      </c>
      <c r="F38" s="31" t="s">
        <v>16</v>
      </c>
      <c r="G38" s="6"/>
      <c r="H38" s="9">
        <v>1581.81</v>
      </c>
      <c r="I38" s="6"/>
      <c r="J38" s="10"/>
      <c r="K38" s="57"/>
      <c r="L38" s="59"/>
      <c r="M38" s="33"/>
      <c r="N38" s="16">
        <v>1581.81</v>
      </c>
      <c r="O38" s="12">
        <f t="shared" si="2"/>
        <v>79.090500000000006</v>
      </c>
      <c r="P38" s="11">
        <f t="shared" si="3"/>
        <v>1107.2669999999998</v>
      </c>
    </row>
    <row r="39" spans="2:16" ht="19" customHeight="1" x14ac:dyDescent="0.35">
      <c r="B39" s="5">
        <v>30</v>
      </c>
      <c r="C39" s="1" t="s">
        <v>91</v>
      </c>
      <c r="D39" s="4" t="s">
        <v>92</v>
      </c>
      <c r="E39" s="54" t="s">
        <v>49</v>
      </c>
      <c r="F39" s="31" t="s">
        <v>16</v>
      </c>
      <c r="G39" s="6"/>
      <c r="H39" s="9">
        <v>30911.3</v>
      </c>
      <c r="I39" s="6"/>
      <c r="J39" s="10"/>
      <c r="K39" s="57"/>
      <c r="L39" s="59"/>
      <c r="M39" s="33"/>
      <c r="N39" s="16">
        <v>30911.3</v>
      </c>
      <c r="O39" s="12">
        <f t="shared" si="2"/>
        <v>1545.5650000000001</v>
      </c>
      <c r="P39" s="11">
        <f t="shared" si="3"/>
        <v>21637.91</v>
      </c>
    </row>
    <row r="40" spans="2:16" ht="19" customHeight="1" x14ac:dyDescent="0.35">
      <c r="B40" s="5">
        <v>31</v>
      </c>
      <c r="C40" s="1" t="s">
        <v>93</v>
      </c>
      <c r="D40" s="4" t="s">
        <v>47</v>
      </c>
      <c r="E40" s="54" t="s">
        <v>49</v>
      </c>
      <c r="F40" s="31" t="s">
        <v>16</v>
      </c>
      <c r="G40" s="6"/>
      <c r="H40" s="9">
        <v>3035.73</v>
      </c>
      <c r="I40" s="6"/>
      <c r="J40" s="10"/>
      <c r="K40" s="57"/>
      <c r="L40" s="59"/>
      <c r="M40" s="33"/>
      <c r="N40" s="16">
        <v>3035.73</v>
      </c>
      <c r="O40" s="12">
        <f t="shared" si="2"/>
        <v>151.78650000000002</v>
      </c>
      <c r="P40" s="11">
        <f t="shared" si="3"/>
        <v>2125.011</v>
      </c>
    </row>
    <row r="41" spans="2:16" ht="20" customHeight="1" x14ac:dyDescent="0.35">
      <c r="B41" s="5">
        <v>32</v>
      </c>
      <c r="C41" s="1" t="s">
        <v>94</v>
      </c>
      <c r="D41" s="4" t="s">
        <v>76</v>
      </c>
      <c r="E41" s="54" t="s">
        <v>49</v>
      </c>
      <c r="F41" s="31" t="s">
        <v>16</v>
      </c>
      <c r="G41" s="6"/>
      <c r="H41" s="9">
        <v>1619.05</v>
      </c>
      <c r="I41" s="6"/>
      <c r="J41" s="10"/>
      <c r="K41" s="57"/>
      <c r="L41" s="59"/>
      <c r="M41" s="33"/>
      <c r="N41" s="16">
        <v>1619.05</v>
      </c>
      <c r="O41" s="12">
        <f t="shared" si="2"/>
        <v>80.952500000000001</v>
      </c>
      <c r="P41" s="11">
        <f t="shared" si="3"/>
        <v>1133.3349999999998</v>
      </c>
    </row>
    <row r="42" spans="2:16" ht="16.5" customHeight="1" x14ac:dyDescent="0.35">
      <c r="B42" s="5">
        <v>33</v>
      </c>
      <c r="C42" s="1" t="s">
        <v>95</v>
      </c>
      <c r="D42" s="4" t="s">
        <v>64</v>
      </c>
      <c r="E42" s="54" t="s">
        <v>49</v>
      </c>
      <c r="F42" s="31" t="s">
        <v>16</v>
      </c>
      <c r="G42" s="6"/>
      <c r="H42" s="9">
        <v>3035.73</v>
      </c>
      <c r="I42" s="6"/>
      <c r="J42" s="10"/>
      <c r="K42" s="57"/>
      <c r="L42" s="59"/>
      <c r="M42" s="33"/>
      <c r="N42" s="16">
        <v>3035.73</v>
      </c>
      <c r="O42" s="12">
        <f t="shared" si="2"/>
        <v>151.78650000000002</v>
      </c>
      <c r="P42" s="11">
        <f t="shared" si="3"/>
        <v>2125.011</v>
      </c>
    </row>
    <row r="43" spans="2:16" x14ac:dyDescent="0.35">
      <c r="B43" s="5">
        <v>34</v>
      </c>
      <c r="C43" s="1" t="s">
        <v>96</v>
      </c>
      <c r="D43" s="4" t="s">
        <v>97</v>
      </c>
      <c r="E43" s="54" t="s">
        <v>49</v>
      </c>
      <c r="F43" s="31" t="s">
        <v>16</v>
      </c>
      <c r="G43" s="6"/>
      <c r="H43" s="9">
        <v>8972.27</v>
      </c>
      <c r="I43" s="6"/>
      <c r="J43" s="10"/>
      <c r="K43" s="57"/>
      <c r="L43" s="59"/>
      <c r="M43" s="33"/>
      <c r="N43" s="16">
        <v>8972.27</v>
      </c>
      <c r="O43" s="12">
        <f t="shared" si="2"/>
        <v>448.61350000000004</v>
      </c>
      <c r="P43" s="11">
        <f t="shared" si="3"/>
        <v>6280.5889999999999</v>
      </c>
    </row>
    <row r="44" spans="2:16" x14ac:dyDescent="0.35">
      <c r="B44" s="5">
        <v>35</v>
      </c>
      <c r="C44" s="1" t="s">
        <v>98</v>
      </c>
      <c r="D44" s="4" t="s">
        <v>47</v>
      </c>
      <c r="E44" s="54" t="s">
        <v>49</v>
      </c>
      <c r="F44" s="31" t="s">
        <v>16</v>
      </c>
      <c r="G44" s="6"/>
      <c r="H44" s="9">
        <v>1410.02</v>
      </c>
      <c r="I44" s="6"/>
      <c r="J44" s="10"/>
      <c r="K44" s="57"/>
      <c r="L44" s="59"/>
      <c r="M44" s="33"/>
      <c r="N44" s="16">
        <v>1410.02</v>
      </c>
      <c r="O44" s="12">
        <f t="shared" si="2"/>
        <v>70.501000000000005</v>
      </c>
      <c r="P44" s="11">
        <f t="shared" si="3"/>
        <v>987.0139999999999</v>
      </c>
    </row>
    <row r="45" spans="2:16" x14ac:dyDescent="0.35">
      <c r="B45" s="5">
        <v>36</v>
      </c>
      <c r="C45" s="1" t="s">
        <v>99</v>
      </c>
      <c r="D45" s="4" t="s">
        <v>66</v>
      </c>
      <c r="E45" s="54" t="s">
        <v>49</v>
      </c>
      <c r="F45" s="31" t="s">
        <v>16</v>
      </c>
      <c r="G45" s="6"/>
      <c r="H45" s="9">
        <v>3098.08</v>
      </c>
      <c r="I45" s="6"/>
      <c r="J45" s="9"/>
      <c r="K45" s="57"/>
      <c r="L45" s="59"/>
      <c r="M45" s="33"/>
      <c r="N45" s="16">
        <v>3098.08</v>
      </c>
      <c r="O45" s="12">
        <f t="shared" si="2"/>
        <v>154.904</v>
      </c>
      <c r="P45" s="11">
        <f t="shared" si="3"/>
        <v>2168.6559999999999</v>
      </c>
    </row>
    <row r="46" spans="2:16" x14ac:dyDescent="0.35">
      <c r="B46" s="5">
        <v>37</v>
      </c>
      <c r="C46" s="2" t="s">
        <v>100</v>
      </c>
      <c r="D46" s="4" t="s">
        <v>66</v>
      </c>
      <c r="E46" s="54" t="s">
        <v>49</v>
      </c>
      <c r="F46" s="31" t="s">
        <v>16</v>
      </c>
      <c r="G46" s="6"/>
      <c r="H46" s="9">
        <v>1619.05</v>
      </c>
      <c r="I46" s="6"/>
      <c r="J46" s="10"/>
      <c r="K46" s="57"/>
      <c r="L46" s="59"/>
      <c r="M46" s="33"/>
      <c r="N46" s="16">
        <v>1619.05</v>
      </c>
      <c r="O46" s="12">
        <f t="shared" si="2"/>
        <v>80.952500000000001</v>
      </c>
      <c r="P46" s="11">
        <f t="shared" si="3"/>
        <v>1133.3349999999998</v>
      </c>
    </row>
    <row r="47" spans="2:16" x14ac:dyDescent="0.35">
      <c r="B47" s="5">
        <v>38</v>
      </c>
      <c r="C47" s="3" t="s">
        <v>101</v>
      </c>
      <c r="D47" s="4" t="s">
        <v>66</v>
      </c>
      <c r="E47" s="54" t="s">
        <v>49</v>
      </c>
      <c r="F47" s="31" t="s">
        <v>16</v>
      </c>
      <c r="G47" s="6"/>
      <c r="H47" s="9">
        <v>3035.73</v>
      </c>
      <c r="I47" s="6"/>
      <c r="J47" s="9"/>
      <c r="K47" s="57"/>
      <c r="L47" s="59"/>
      <c r="M47" s="33"/>
      <c r="N47" s="16">
        <v>3035.73</v>
      </c>
      <c r="O47" s="12">
        <f t="shared" si="2"/>
        <v>151.78650000000002</v>
      </c>
      <c r="P47" s="11">
        <f t="shared" si="3"/>
        <v>2125.011</v>
      </c>
    </row>
    <row r="48" spans="2:16" x14ac:dyDescent="0.35">
      <c r="B48" s="5">
        <v>39</v>
      </c>
      <c r="C48" s="2" t="s">
        <v>102</v>
      </c>
      <c r="D48" s="4" t="s">
        <v>66</v>
      </c>
      <c r="E48" s="54" t="s">
        <v>49</v>
      </c>
      <c r="F48" s="31" t="s">
        <v>16</v>
      </c>
      <c r="G48" s="6"/>
      <c r="H48" s="9">
        <v>1652.31</v>
      </c>
      <c r="I48" s="6"/>
      <c r="J48" s="9"/>
      <c r="K48" s="57"/>
      <c r="L48" s="59"/>
      <c r="M48" s="33"/>
      <c r="N48" s="16">
        <v>1652.31</v>
      </c>
      <c r="O48" s="12">
        <f t="shared" si="2"/>
        <v>82.615499999999997</v>
      </c>
      <c r="P48" s="11">
        <f t="shared" si="3"/>
        <v>1156.617</v>
      </c>
    </row>
    <row r="49" spans="2:16" x14ac:dyDescent="0.35">
      <c r="B49" s="5">
        <v>40</v>
      </c>
      <c r="C49" s="8" t="s">
        <v>103</v>
      </c>
      <c r="D49" s="4" t="s">
        <v>46</v>
      </c>
      <c r="E49" s="54" t="s">
        <v>49</v>
      </c>
      <c r="F49" s="31" t="s">
        <v>16</v>
      </c>
      <c r="G49" s="6"/>
      <c r="H49" s="9">
        <v>1652.31</v>
      </c>
      <c r="I49" s="6"/>
      <c r="J49" s="9"/>
      <c r="K49" s="57"/>
      <c r="L49" s="59"/>
      <c r="M49" s="33"/>
      <c r="N49" s="16">
        <v>1652.31</v>
      </c>
      <c r="O49" s="12">
        <f t="shared" si="2"/>
        <v>82.615499999999997</v>
      </c>
      <c r="P49" s="11">
        <f t="shared" si="3"/>
        <v>1156.617</v>
      </c>
    </row>
    <row r="50" spans="2:16" x14ac:dyDescent="0.35">
      <c r="B50" s="5">
        <v>41</v>
      </c>
      <c r="C50" s="1" t="s">
        <v>104</v>
      </c>
      <c r="D50" s="4" t="s">
        <v>66</v>
      </c>
      <c r="E50" s="54" t="s">
        <v>49</v>
      </c>
      <c r="F50" s="31" t="s">
        <v>16</v>
      </c>
      <c r="G50" s="6"/>
      <c r="H50" s="9">
        <v>1652.31</v>
      </c>
      <c r="I50" s="6"/>
      <c r="J50" s="9"/>
      <c r="K50" s="57"/>
      <c r="L50" s="59"/>
      <c r="M50" s="33"/>
      <c r="N50" s="16">
        <v>1652.31</v>
      </c>
      <c r="O50" s="12">
        <f t="shared" si="2"/>
        <v>82.615499999999997</v>
      </c>
      <c r="P50" s="11">
        <f t="shared" si="3"/>
        <v>1156.617</v>
      </c>
    </row>
    <row r="51" spans="2:16" ht="26.5" x14ac:dyDescent="0.35">
      <c r="B51" s="5">
        <v>42</v>
      </c>
      <c r="C51" s="1" t="s">
        <v>105</v>
      </c>
      <c r="D51" s="4" t="s">
        <v>66</v>
      </c>
      <c r="E51" s="54" t="s">
        <v>49</v>
      </c>
      <c r="F51" s="31" t="s">
        <v>86</v>
      </c>
      <c r="G51" s="9">
        <v>1652.31</v>
      </c>
      <c r="H51" s="9">
        <v>1652.31</v>
      </c>
      <c r="I51" s="6"/>
      <c r="J51" s="9"/>
      <c r="K51" s="57"/>
      <c r="L51" s="59"/>
      <c r="M51" s="33"/>
      <c r="N51" s="16">
        <v>3304.62</v>
      </c>
      <c r="O51" s="12">
        <f t="shared" si="2"/>
        <v>165.23099999999999</v>
      </c>
      <c r="P51" s="11">
        <f t="shared" si="3"/>
        <v>2313.2339999999999</v>
      </c>
    </row>
    <row r="52" spans="2:16" x14ac:dyDescent="0.35">
      <c r="B52" s="5">
        <v>43</v>
      </c>
      <c r="C52" s="2" t="s">
        <v>106</v>
      </c>
      <c r="D52" s="103" t="s">
        <v>47</v>
      </c>
      <c r="E52" s="104" t="s">
        <v>49</v>
      </c>
      <c r="F52" s="105" t="s">
        <v>16</v>
      </c>
      <c r="G52" s="106"/>
      <c r="H52" s="9">
        <v>1373.6</v>
      </c>
      <c r="I52" s="106"/>
      <c r="J52" s="9"/>
      <c r="K52" s="57"/>
      <c r="L52" s="59"/>
      <c r="M52" s="33"/>
      <c r="N52" s="16">
        <v>1373.6</v>
      </c>
      <c r="O52" s="12">
        <f t="shared" si="2"/>
        <v>68.679999999999993</v>
      </c>
      <c r="P52" s="11">
        <f t="shared" si="3"/>
        <v>961.51999999999987</v>
      </c>
    </row>
    <row r="53" spans="2:16" x14ac:dyDescent="0.35">
      <c r="B53" s="5">
        <v>44</v>
      </c>
      <c r="C53" s="1" t="s">
        <v>107</v>
      </c>
      <c r="D53" s="4" t="s">
        <v>66</v>
      </c>
      <c r="E53" s="54" t="s">
        <v>49</v>
      </c>
      <c r="F53" s="31" t="s">
        <v>16</v>
      </c>
      <c r="G53" s="6"/>
      <c r="H53" s="9">
        <v>1643</v>
      </c>
      <c r="I53" s="6"/>
      <c r="J53" s="9"/>
      <c r="K53" s="57"/>
      <c r="L53" s="59"/>
      <c r="M53" s="33"/>
      <c r="N53" s="16">
        <v>1643</v>
      </c>
      <c r="O53" s="12">
        <f t="shared" si="2"/>
        <v>82.15</v>
      </c>
      <c r="P53" s="11">
        <f t="shared" si="3"/>
        <v>1150.0999999999999</v>
      </c>
    </row>
    <row r="54" spans="2:16" x14ac:dyDescent="0.35">
      <c r="B54" s="5">
        <v>45</v>
      </c>
      <c r="C54" s="1" t="s">
        <v>110</v>
      </c>
      <c r="D54" s="4" t="s">
        <v>47</v>
      </c>
      <c r="E54" s="54" t="s">
        <v>49</v>
      </c>
      <c r="F54" s="31" t="s">
        <v>16</v>
      </c>
      <c r="G54" s="6"/>
      <c r="H54" s="9">
        <v>836.6</v>
      </c>
      <c r="I54" s="6"/>
      <c r="J54" s="9"/>
      <c r="K54" s="57"/>
      <c r="L54" s="59"/>
      <c r="M54" s="33"/>
      <c r="N54" s="16">
        <v>836.6</v>
      </c>
      <c r="O54" s="12">
        <f t="shared" si="2"/>
        <v>41.830000000000005</v>
      </c>
      <c r="P54" s="11">
        <f t="shared" si="3"/>
        <v>585.62</v>
      </c>
    </row>
    <row r="55" spans="2:16" x14ac:dyDescent="0.35">
      <c r="B55" s="5">
        <v>46</v>
      </c>
      <c r="C55" s="1" t="s">
        <v>108</v>
      </c>
      <c r="D55" s="4" t="s">
        <v>64</v>
      </c>
      <c r="E55" s="54" t="s">
        <v>49</v>
      </c>
      <c r="F55" s="31" t="s">
        <v>16</v>
      </c>
      <c r="G55" s="6"/>
      <c r="H55" s="9">
        <v>1643</v>
      </c>
      <c r="I55" s="6"/>
      <c r="J55" s="9"/>
      <c r="K55" s="57"/>
      <c r="L55" s="59"/>
      <c r="M55" s="33"/>
      <c r="N55" s="16">
        <v>1643</v>
      </c>
      <c r="O55" s="12">
        <f t="shared" si="2"/>
        <v>82.15</v>
      </c>
      <c r="P55" s="11">
        <f t="shared" si="3"/>
        <v>1150.0999999999999</v>
      </c>
    </row>
    <row r="56" spans="2:16" ht="0.5" customHeight="1" x14ac:dyDescent="0.35">
      <c r="B56" s="5">
        <v>47</v>
      </c>
      <c r="C56" s="1"/>
      <c r="D56" s="4"/>
      <c r="E56" s="5"/>
      <c r="F56" s="15"/>
      <c r="G56" s="6"/>
      <c r="H56" s="6"/>
      <c r="I56" s="6"/>
      <c r="J56" s="10"/>
      <c r="K56" s="57"/>
      <c r="L56" s="59"/>
      <c r="M56" s="33"/>
      <c r="N56" s="16">
        <f t="shared" ref="N56:N59" si="4">SUM(G56:K56)</f>
        <v>0</v>
      </c>
      <c r="O56" s="12">
        <f t="shared" si="2"/>
        <v>0</v>
      </c>
      <c r="P56" s="11">
        <f t="shared" si="3"/>
        <v>0</v>
      </c>
    </row>
    <row r="57" spans="2:16" hidden="1" x14ac:dyDescent="0.35">
      <c r="B57" s="5">
        <v>48</v>
      </c>
      <c r="C57" s="1"/>
      <c r="D57" s="4"/>
      <c r="E57" s="5"/>
      <c r="F57" s="15"/>
      <c r="G57" s="6"/>
      <c r="H57" s="6"/>
      <c r="I57" s="6"/>
      <c r="J57" s="9"/>
      <c r="K57" s="57"/>
      <c r="L57" s="59"/>
      <c r="M57" s="33"/>
      <c r="N57" s="16">
        <f t="shared" si="4"/>
        <v>0</v>
      </c>
      <c r="O57" s="12">
        <f t="shared" si="2"/>
        <v>0</v>
      </c>
      <c r="P57" s="11">
        <f t="shared" si="3"/>
        <v>0</v>
      </c>
    </row>
    <row r="58" spans="2:16" hidden="1" x14ac:dyDescent="0.35">
      <c r="B58" s="5">
        <v>49</v>
      </c>
      <c r="C58" s="1"/>
      <c r="D58" s="4"/>
      <c r="E58" s="5"/>
      <c r="F58" s="15"/>
      <c r="G58" s="6"/>
      <c r="H58" s="6"/>
      <c r="I58" s="6"/>
      <c r="J58" s="9"/>
      <c r="K58" s="57"/>
      <c r="L58" s="59"/>
      <c r="M58" s="33"/>
      <c r="N58" s="16">
        <f t="shared" si="4"/>
        <v>0</v>
      </c>
      <c r="O58" s="12">
        <f t="shared" si="2"/>
        <v>0</v>
      </c>
      <c r="P58" s="11">
        <f t="shared" si="3"/>
        <v>0</v>
      </c>
    </row>
    <row r="59" spans="2:16" hidden="1" x14ac:dyDescent="0.35">
      <c r="B59" s="5">
        <v>50</v>
      </c>
      <c r="C59" s="1"/>
      <c r="D59" s="4"/>
      <c r="E59" s="5"/>
      <c r="F59" s="15"/>
      <c r="G59" s="6"/>
      <c r="H59" s="6"/>
      <c r="I59" s="6"/>
      <c r="J59" s="9"/>
      <c r="K59" s="57"/>
      <c r="L59" s="59"/>
      <c r="M59" s="33"/>
      <c r="N59" s="16">
        <f t="shared" si="4"/>
        <v>0</v>
      </c>
      <c r="O59" s="12">
        <f t="shared" si="2"/>
        <v>0</v>
      </c>
      <c r="P59" s="11">
        <f t="shared" si="3"/>
        <v>0</v>
      </c>
    </row>
    <row r="60" spans="2:16" ht="15" thickBot="1" x14ac:dyDescent="0.4">
      <c r="B60" s="17"/>
      <c r="C60" s="18" t="s">
        <v>12</v>
      </c>
      <c r="D60" s="17"/>
      <c r="E60" s="17"/>
      <c r="F60" s="19"/>
      <c r="G60" s="58">
        <f>SUM(G10:G59)</f>
        <v>6417.66</v>
      </c>
      <c r="H60" s="58">
        <f>SUM(H10:H59)</f>
        <v>123567.23000000001</v>
      </c>
      <c r="I60" s="58">
        <f>SUM(I10:I59)</f>
        <v>428032.42</v>
      </c>
      <c r="J60" s="20">
        <f>SUM(J10:J59)</f>
        <v>84274.48</v>
      </c>
      <c r="K60" s="58">
        <f>SUM(K10:K59)</f>
        <v>0</v>
      </c>
      <c r="L60" s="58">
        <f>SUM(L10:L59)</f>
        <v>16570.34</v>
      </c>
      <c r="M60" s="13"/>
      <c r="N60" s="16">
        <v>658862.13</v>
      </c>
      <c r="O60" s="13">
        <f>SUM(O10:O59)</f>
        <v>32943.106499999994</v>
      </c>
      <c r="P60" s="21">
        <f>N60*70%</f>
        <v>461203.49099999998</v>
      </c>
    </row>
    <row r="61" spans="2:16" x14ac:dyDescent="0.35">
      <c r="B61" s="22"/>
      <c r="C61" s="22"/>
      <c r="D61" s="22"/>
      <c r="E61" s="22"/>
      <c r="F61" s="22"/>
      <c r="G61" s="22"/>
      <c r="H61" s="22"/>
      <c r="I61" s="22"/>
      <c r="J61" s="23"/>
      <c r="K61" s="22"/>
      <c r="L61" s="22"/>
      <c r="M61" s="22"/>
      <c r="N61" s="24"/>
      <c r="O61" s="25"/>
      <c r="P61" s="26"/>
    </row>
    <row r="62" spans="2:16" x14ac:dyDescent="0.35">
      <c r="B62" s="7"/>
      <c r="C62" t="s">
        <v>8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</row>
    <row r="63" spans="2:16" x14ac:dyDescent="0.35"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</row>
    <row r="67" spans="3:3" x14ac:dyDescent="0.35">
      <c r="C67" t="s">
        <v>126</v>
      </c>
    </row>
  </sheetData>
  <mergeCells count="9">
    <mergeCell ref="B7:F8"/>
    <mergeCell ref="G7:K7"/>
    <mergeCell ref="M7:P8"/>
    <mergeCell ref="G8:J8"/>
    <mergeCell ref="B3:C3"/>
    <mergeCell ref="D3:F3"/>
    <mergeCell ref="B4:C4"/>
    <mergeCell ref="D4:F4"/>
    <mergeCell ref="B6:P6"/>
  </mergeCells>
  <phoneticPr fontId="5" type="noConversion"/>
  <pageMargins left="0.7" right="0.7" top="0.75" bottom="0.75" header="0.3" footer="0.3"/>
  <pageSetup paperSize="9" scale="44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C42D8-27BC-4EFC-A8A2-EEBA74DE01A9}">
  <dimension ref="B3:Q68"/>
  <sheetViews>
    <sheetView topLeftCell="A40" zoomScale="55" zoomScaleNormal="55" workbookViewId="0">
      <selection activeCell="C68" sqref="C68"/>
    </sheetView>
  </sheetViews>
  <sheetFormatPr defaultRowHeight="14.5" x14ac:dyDescent="0.35"/>
  <cols>
    <col min="3" max="3" width="52.453125" customWidth="1"/>
    <col min="5" max="5" width="7.54296875" bestFit="1" customWidth="1"/>
    <col min="6" max="6" width="18.26953125" customWidth="1"/>
    <col min="7" max="7" width="13.6328125" bestFit="1" customWidth="1"/>
    <col min="8" max="8" width="25.08984375" customWidth="1"/>
    <col min="9" max="9" width="16" bestFit="1" customWidth="1"/>
    <col min="10" max="10" width="24.54296875" bestFit="1" customWidth="1"/>
    <col min="11" max="11" width="13.453125" bestFit="1" customWidth="1"/>
    <col min="12" max="12" width="14.453125" bestFit="1" customWidth="1"/>
    <col min="13" max="13" width="14.90625" customWidth="1"/>
    <col min="14" max="14" width="17.26953125" customWidth="1"/>
    <col min="15" max="15" width="19.08984375" customWidth="1"/>
    <col min="16" max="16" width="21" customWidth="1"/>
  </cols>
  <sheetData>
    <row r="3" spans="2:17" x14ac:dyDescent="0.35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spans="2:17" x14ac:dyDescent="0.35">
      <c r="B4" s="80" t="s">
        <v>10</v>
      </c>
      <c r="C4" s="80"/>
      <c r="D4" s="81" t="s">
        <v>51</v>
      </c>
      <c r="E4" s="81"/>
      <c r="F4" s="81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2:17" x14ac:dyDescent="0.35">
      <c r="B5" s="80" t="s">
        <v>11</v>
      </c>
      <c r="C5" s="80"/>
      <c r="D5" s="82"/>
      <c r="E5" s="82"/>
      <c r="F5" s="82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spans="2:17" x14ac:dyDescent="0.35"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pans="2:17" ht="21.5" thickBot="1" x14ac:dyDescent="0.4">
      <c r="B7" s="83" t="s">
        <v>52</v>
      </c>
      <c r="C7" s="83"/>
      <c r="D7" s="83"/>
      <c r="E7" s="83"/>
      <c r="F7" s="83"/>
      <c r="G7" s="84"/>
      <c r="H7" s="84"/>
      <c r="I7" s="84"/>
      <c r="J7" s="84"/>
      <c r="K7" s="84"/>
      <c r="L7" s="84"/>
      <c r="M7" s="84"/>
      <c r="N7" s="83"/>
      <c r="O7" s="83"/>
      <c r="P7" s="83"/>
      <c r="Q7" s="14"/>
    </row>
    <row r="8" spans="2:17" ht="21" x14ac:dyDescent="0.35">
      <c r="B8" s="85"/>
      <c r="C8" s="86"/>
      <c r="D8" s="86"/>
      <c r="E8" s="86"/>
      <c r="F8" s="87"/>
      <c r="G8" s="91" t="s">
        <v>13</v>
      </c>
      <c r="H8" s="92"/>
      <c r="I8" s="92"/>
      <c r="J8" s="92"/>
      <c r="K8" s="93"/>
      <c r="L8" s="55"/>
      <c r="M8" s="94"/>
      <c r="N8" s="95"/>
      <c r="O8" s="95"/>
      <c r="P8" s="96"/>
      <c r="Q8" s="14"/>
    </row>
    <row r="9" spans="2:17" ht="21" x14ac:dyDescent="0.35">
      <c r="B9" s="88"/>
      <c r="C9" s="89"/>
      <c r="D9" s="89"/>
      <c r="E9" s="89"/>
      <c r="F9" s="90"/>
      <c r="G9" s="100" t="s">
        <v>19</v>
      </c>
      <c r="H9" s="101"/>
      <c r="I9" s="101"/>
      <c r="J9" s="102"/>
      <c r="K9" s="35"/>
      <c r="L9" s="56"/>
      <c r="M9" s="97"/>
      <c r="N9" s="98"/>
      <c r="O9" s="98"/>
      <c r="P9" s="99"/>
      <c r="Q9" s="14"/>
    </row>
    <row r="10" spans="2:17" ht="15.5" x14ac:dyDescent="0.35">
      <c r="B10" s="27" t="s">
        <v>0</v>
      </c>
      <c r="C10" s="27" t="s">
        <v>1</v>
      </c>
      <c r="D10" s="27" t="s">
        <v>2</v>
      </c>
      <c r="E10" s="27" t="s">
        <v>3</v>
      </c>
      <c r="F10" s="30" t="s">
        <v>7</v>
      </c>
      <c r="G10" s="27" t="s">
        <v>15</v>
      </c>
      <c r="H10" s="27" t="s">
        <v>16</v>
      </c>
      <c r="I10" s="27" t="s">
        <v>17</v>
      </c>
      <c r="J10" s="27" t="s">
        <v>120</v>
      </c>
      <c r="K10" s="30" t="s">
        <v>4</v>
      </c>
      <c r="L10" s="27" t="s">
        <v>119</v>
      </c>
      <c r="M10" s="32" t="s">
        <v>113</v>
      </c>
      <c r="N10" s="28" t="s">
        <v>5</v>
      </c>
      <c r="O10" s="27" t="s">
        <v>6</v>
      </c>
      <c r="P10" s="29" t="s">
        <v>9</v>
      </c>
      <c r="Q10" s="14"/>
    </row>
    <row r="11" spans="2:17" ht="39.5" customHeight="1" x14ac:dyDescent="0.35">
      <c r="B11" s="5">
        <v>1</v>
      </c>
      <c r="C11" s="1" t="s">
        <v>38</v>
      </c>
      <c r="D11" s="111" t="s">
        <v>43</v>
      </c>
      <c r="E11" s="54">
        <v>46025</v>
      </c>
      <c r="F11" s="31" t="s">
        <v>53</v>
      </c>
      <c r="G11" s="6"/>
      <c r="H11" s="6"/>
      <c r="I11" s="16">
        <v>9000</v>
      </c>
      <c r="J11" s="9">
        <v>6200</v>
      </c>
      <c r="K11" s="57"/>
      <c r="L11" s="59">
        <v>400</v>
      </c>
      <c r="M11" s="33"/>
      <c r="N11" s="16">
        <v>15600</v>
      </c>
      <c r="O11" s="12">
        <f>N11*5%</f>
        <v>780</v>
      </c>
      <c r="P11" s="11">
        <f>N11*70%</f>
        <v>10920</v>
      </c>
      <c r="Q11" s="14"/>
    </row>
    <row r="12" spans="2:17" ht="34.5" customHeight="1" x14ac:dyDescent="0.35">
      <c r="B12" s="5">
        <v>2</v>
      </c>
      <c r="C12" s="1" t="s">
        <v>39</v>
      </c>
      <c r="D12" s="4" t="s">
        <v>44</v>
      </c>
      <c r="E12" s="54">
        <v>46025</v>
      </c>
      <c r="F12" s="112" t="s">
        <v>54</v>
      </c>
      <c r="G12" s="11">
        <v>1080</v>
      </c>
      <c r="H12" s="16">
        <v>7065</v>
      </c>
      <c r="I12" s="16">
        <v>90000</v>
      </c>
      <c r="J12" s="9">
        <v>11800</v>
      </c>
      <c r="K12" s="57"/>
      <c r="L12" s="59"/>
      <c r="M12" s="33"/>
      <c r="N12" s="16">
        <v>109945</v>
      </c>
      <c r="O12" s="12">
        <f t="shared" ref="O12:O61" si="0">N12*5%</f>
        <v>5497.25</v>
      </c>
      <c r="P12" s="11">
        <f t="shared" ref="P12:P61" si="1">N12*70%</f>
        <v>76961.5</v>
      </c>
      <c r="Q12" s="14"/>
    </row>
    <row r="13" spans="2:17" x14ac:dyDescent="0.35">
      <c r="B13" s="5">
        <v>3</v>
      </c>
      <c r="C13" s="1" t="s">
        <v>40</v>
      </c>
      <c r="D13" s="4" t="s">
        <v>45</v>
      </c>
      <c r="E13" s="54">
        <v>46025</v>
      </c>
      <c r="F13" s="31" t="s">
        <v>48</v>
      </c>
      <c r="G13" s="6"/>
      <c r="H13" s="6"/>
      <c r="I13" s="16">
        <v>9000</v>
      </c>
      <c r="J13" s="9"/>
      <c r="K13" s="57"/>
      <c r="L13" s="59"/>
      <c r="M13" s="33"/>
      <c r="N13" s="16">
        <v>9000</v>
      </c>
      <c r="O13" s="12">
        <f t="shared" si="0"/>
        <v>450</v>
      </c>
      <c r="P13" s="11">
        <f t="shared" si="1"/>
        <v>6300</v>
      </c>
      <c r="Q13" s="14"/>
    </row>
    <row r="14" spans="2:17" ht="26.5" customHeight="1" x14ac:dyDescent="0.35">
      <c r="B14" s="5">
        <v>4</v>
      </c>
      <c r="C14" s="1" t="s">
        <v>41</v>
      </c>
      <c r="D14" s="4" t="s">
        <v>46</v>
      </c>
      <c r="E14" s="54">
        <v>46025</v>
      </c>
      <c r="F14" s="31" t="s">
        <v>48</v>
      </c>
      <c r="G14" s="6"/>
      <c r="H14" s="6"/>
      <c r="I14" s="16">
        <v>21000</v>
      </c>
      <c r="J14" s="9"/>
      <c r="K14" s="57"/>
      <c r="L14" s="59"/>
      <c r="M14" s="33"/>
      <c r="N14" s="16">
        <v>21000</v>
      </c>
      <c r="O14" s="12">
        <f t="shared" si="0"/>
        <v>1050</v>
      </c>
      <c r="P14" s="11">
        <f t="shared" si="1"/>
        <v>14699.999999999998</v>
      </c>
      <c r="Q14" s="14"/>
    </row>
    <row r="15" spans="2:17" x14ac:dyDescent="0.35">
      <c r="B15" s="5">
        <v>5</v>
      </c>
      <c r="C15" s="1" t="s">
        <v>42</v>
      </c>
      <c r="D15" s="4" t="s">
        <v>47</v>
      </c>
      <c r="E15" s="54">
        <v>46025</v>
      </c>
      <c r="F15" s="31" t="s">
        <v>48</v>
      </c>
      <c r="G15" s="6"/>
      <c r="H15" s="6"/>
      <c r="I15" s="16">
        <v>12000</v>
      </c>
      <c r="J15" s="10"/>
      <c r="K15" s="57"/>
      <c r="L15" s="59"/>
      <c r="M15" s="33"/>
      <c r="N15" s="16">
        <v>12000</v>
      </c>
      <c r="O15" s="12">
        <f t="shared" si="0"/>
        <v>600</v>
      </c>
      <c r="P15" s="11">
        <f t="shared" si="1"/>
        <v>8400</v>
      </c>
      <c r="Q15" s="14"/>
    </row>
    <row r="16" spans="2:17" x14ac:dyDescent="0.35">
      <c r="B16" s="5">
        <v>6</v>
      </c>
      <c r="C16" s="1" t="s">
        <v>55</v>
      </c>
      <c r="D16" s="4" t="s">
        <v>56</v>
      </c>
      <c r="E16" s="54">
        <v>46025</v>
      </c>
      <c r="F16" s="31" t="s">
        <v>48</v>
      </c>
      <c r="G16" s="6"/>
      <c r="H16" s="6"/>
      <c r="I16" s="16">
        <v>30000</v>
      </c>
      <c r="J16" s="10"/>
      <c r="K16" s="57"/>
      <c r="L16" s="59"/>
      <c r="M16" s="33"/>
      <c r="N16" s="16">
        <v>30000</v>
      </c>
      <c r="O16" s="12">
        <f t="shared" si="0"/>
        <v>1500</v>
      </c>
      <c r="P16" s="11">
        <f t="shared" si="1"/>
        <v>21000</v>
      </c>
      <c r="Q16" s="14"/>
    </row>
    <row r="17" spans="2:17" x14ac:dyDescent="0.35">
      <c r="B17" s="5">
        <v>7</v>
      </c>
      <c r="C17" s="1" t="s">
        <v>57</v>
      </c>
      <c r="D17" s="4" t="s">
        <v>58</v>
      </c>
      <c r="E17" s="54">
        <v>46025</v>
      </c>
      <c r="F17" s="31" t="s">
        <v>48</v>
      </c>
      <c r="G17" s="6"/>
      <c r="H17" s="6"/>
      <c r="I17" s="16">
        <v>24000</v>
      </c>
      <c r="J17" s="10"/>
      <c r="K17" s="57"/>
      <c r="L17" s="59"/>
      <c r="M17" s="33"/>
      <c r="N17" s="16">
        <v>24000</v>
      </c>
      <c r="O17" s="12">
        <f t="shared" si="0"/>
        <v>1200</v>
      </c>
      <c r="P17" s="11">
        <f t="shared" si="1"/>
        <v>16800</v>
      </c>
      <c r="Q17" s="14"/>
    </row>
    <row r="18" spans="2:17" x14ac:dyDescent="0.35">
      <c r="B18" s="5">
        <v>8</v>
      </c>
      <c r="C18" s="1" t="s">
        <v>59</v>
      </c>
      <c r="D18" s="4" t="s">
        <v>45</v>
      </c>
      <c r="E18" s="54">
        <v>46025</v>
      </c>
      <c r="F18" s="31" t="s">
        <v>48</v>
      </c>
      <c r="G18" s="6"/>
      <c r="H18" s="6"/>
      <c r="I18" s="16">
        <v>5400</v>
      </c>
      <c r="J18" s="10"/>
      <c r="K18" s="57"/>
      <c r="L18" s="59"/>
      <c r="M18" s="33"/>
      <c r="N18" s="16">
        <v>5400</v>
      </c>
      <c r="O18" s="12">
        <f t="shared" si="0"/>
        <v>270</v>
      </c>
      <c r="P18" s="11">
        <f t="shared" si="1"/>
        <v>3779.9999999999995</v>
      </c>
      <c r="Q18" s="14"/>
    </row>
    <row r="19" spans="2:17" x14ac:dyDescent="0.35">
      <c r="B19" s="5">
        <v>9</v>
      </c>
      <c r="C19" s="1" t="s">
        <v>60</v>
      </c>
      <c r="D19" s="4" t="s">
        <v>61</v>
      </c>
      <c r="E19" s="54">
        <v>46025</v>
      </c>
      <c r="F19" s="31" t="s">
        <v>48</v>
      </c>
      <c r="G19" s="6"/>
      <c r="H19" s="6"/>
      <c r="I19" s="16">
        <v>9000</v>
      </c>
      <c r="J19" s="10"/>
      <c r="K19" s="57"/>
      <c r="L19" s="59"/>
      <c r="M19" s="33"/>
      <c r="N19" s="16">
        <v>9000</v>
      </c>
      <c r="O19" s="12">
        <f t="shared" si="0"/>
        <v>450</v>
      </c>
      <c r="P19" s="11">
        <f t="shared" si="1"/>
        <v>6300</v>
      </c>
      <c r="Q19" s="14"/>
    </row>
    <row r="20" spans="2:17" ht="26.5" customHeight="1" x14ac:dyDescent="0.35">
      <c r="B20" s="5">
        <v>10</v>
      </c>
      <c r="C20" s="1" t="s">
        <v>62</v>
      </c>
      <c r="D20" s="4" t="s">
        <v>47</v>
      </c>
      <c r="E20" s="54">
        <v>46025</v>
      </c>
      <c r="F20" s="31" t="s">
        <v>18</v>
      </c>
      <c r="G20" s="6"/>
      <c r="H20" s="6"/>
      <c r="I20" s="6"/>
      <c r="J20" s="10">
        <v>3100</v>
      </c>
      <c r="K20" s="57"/>
      <c r="L20" s="59">
        <v>800</v>
      </c>
      <c r="M20" s="33"/>
      <c r="N20" s="16">
        <v>3900</v>
      </c>
      <c r="O20" s="12">
        <f t="shared" si="0"/>
        <v>195</v>
      </c>
      <c r="P20" s="11">
        <f t="shared" si="1"/>
        <v>2730</v>
      </c>
      <c r="Q20" s="14"/>
    </row>
    <row r="21" spans="2:17" x14ac:dyDescent="0.35">
      <c r="B21" s="5">
        <v>11</v>
      </c>
      <c r="C21" s="1" t="s">
        <v>63</v>
      </c>
      <c r="D21" s="4" t="s">
        <v>64</v>
      </c>
      <c r="E21" s="54">
        <v>46025</v>
      </c>
      <c r="F21" s="31" t="s">
        <v>18</v>
      </c>
      <c r="G21" s="6"/>
      <c r="H21" s="6"/>
      <c r="I21" s="6"/>
      <c r="J21" s="10">
        <v>3100</v>
      </c>
      <c r="K21" s="57"/>
      <c r="L21" s="59">
        <v>400</v>
      </c>
      <c r="M21" s="33"/>
      <c r="N21" s="16">
        <v>3500</v>
      </c>
      <c r="O21" s="12">
        <f t="shared" si="0"/>
        <v>175</v>
      </c>
      <c r="P21" s="11">
        <f t="shared" si="1"/>
        <v>2450</v>
      </c>
      <c r="Q21" s="14"/>
    </row>
    <row r="22" spans="2:17" x14ac:dyDescent="0.35">
      <c r="B22" s="5">
        <v>12</v>
      </c>
      <c r="C22" s="1" t="s">
        <v>65</v>
      </c>
      <c r="D22" s="4" t="s">
        <v>66</v>
      </c>
      <c r="E22" s="54">
        <v>46025</v>
      </c>
      <c r="F22" s="31" t="s">
        <v>18</v>
      </c>
      <c r="G22" s="6"/>
      <c r="H22" s="6"/>
      <c r="I22" s="6"/>
      <c r="J22" s="10">
        <v>3100</v>
      </c>
      <c r="K22" s="57"/>
      <c r="L22" s="59">
        <v>400</v>
      </c>
      <c r="M22" s="33"/>
      <c r="N22" s="16">
        <v>3500</v>
      </c>
      <c r="O22" s="12">
        <f t="shared" si="0"/>
        <v>175</v>
      </c>
      <c r="P22" s="11">
        <f t="shared" si="1"/>
        <v>2450</v>
      </c>
      <c r="Q22" s="14"/>
    </row>
    <row r="23" spans="2:17" x14ac:dyDescent="0.35">
      <c r="B23" s="5">
        <v>13</v>
      </c>
      <c r="C23" s="1" t="s">
        <v>67</v>
      </c>
      <c r="D23" s="4" t="s">
        <v>64</v>
      </c>
      <c r="E23" s="54">
        <v>46025</v>
      </c>
      <c r="F23" s="31" t="s">
        <v>18</v>
      </c>
      <c r="G23" s="6"/>
      <c r="H23" s="6"/>
      <c r="I23" s="6"/>
      <c r="J23" s="10">
        <v>3100</v>
      </c>
      <c r="K23" s="57"/>
      <c r="L23" s="59"/>
      <c r="M23" s="33"/>
      <c r="N23" s="16">
        <v>3100</v>
      </c>
      <c r="O23" s="12">
        <f t="shared" si="0"/>
        <v>155</v>
      </c>
      <c r="P23" s="11">
        <f t="shared" si="1"/>
        <v>2170</v>
      </c>
      <c r="Q23" s="14"/>
    </row>
    <row r="24" spans="2:17" ht="31" customHeight="1" x14ac:dyDescent="0.35">
      <c r="B24" s="5">
        <v>14</v>
      </c>
      <c r="C24" s="1" t="s">
        <v>68</v>
      </c>
      <c r="D24" s="4" t="s">
        <v>69</v>
      </c>
      <c r="E24" s="54">
        <v>46025</v>
      </c>
      <c r="F24" s="31" t="s">
        <v>54</v>
      </c>
      <c r="G24" s="6"/>
      <c r="H24" s="16">
        <v>14445</v>
      </c>
      <c r="I24" s="16">
        <v>23806.45</v>
      </c>
      <c r="J24" s="10">
        <v>185418.42</v>
      </c>
      <c r="K24" s="57"/>
      <c r="L24" s="59">
        <v>18580.689999999999</v>
      </c>
      <c r="M24" s="33"/>
      <c r="N24" s="16">
        <v>242250.56</v>
      </c>
      <c r="O24" s="12">
        <f t="shared" si="0"/>
        <v>12112.528</v>
      </c>
      <c r="P24" s="11">
        <f t="shared" si="1"/>
        <v>169575.39199999999</v>
      </c>
      <c r="Q24" s="14"/>
    </row>
    <row r="25" spans="2:17" x14ac:dyDescent="0.35">
      <c r="B25" s="5">
        <v>15</v>
      </c>
      <c r="C25" s="1" t="s">
        <v>70</v>
      </c>
      <c r="D25" s="4" t="s">
        <v>71</v>
      </c>
      <c r="E25" s="54">
        <v>46025</v>
      </c>
      <c r="F25" s="31" t="s">
        <v>18</v>
      </c>
      <c r="G25" s="6"/>
      <c r="H25" s="6"/>
      <c r="I25" s="6"/>
      <c r="J25" s="10">
        <v>4900</v>
      </c>
      <c r="K25" s="57"/>
      <c r="L25" s="59">
        <v>2800</v>
      </c>
      <c r="M25" s="33"/>
      <c r="N25" s="16">
        <v>7700</v>
      </c>
      <c r="O25" s="12">
        <f t="shared" si="0"/>
        <v>385</v>
      </c>
      <c r="P25" s="11">
        <f t="shared" si="1"/>
        <v>5390</v>
      </c>
    </row>
    <row r="26" spans="2:17" x14ac:dyDescent="0.35">
      <c r="B26" s="5">
        <v>16</v>
      </c>
      <c r="C26" s="1" t="s">
        <v>72</v>
      </c>
      <c r="D26" s="4" t="s">
        <v>71</v>
      </c>
      <c r="E26" s="54">
        <v>46025</v>
      </c>
      <c r="F26" s="31" t="s">
        <v>18</v>
      </c>
      <c r="G26" s="6"/>
      <c r="H26" s="6"/>
      <c r="I26" s="6"/>
      <c r="J26" s="10">
        <v>3100</v>
      </c>
      <c r="K26" s="57"/>
      <c r="L26" s="59">
        <v>1200</v>
      </c>
      <c r="M26" s="33"/>
      <c r="N26" s="16">
        <v>4300</v>
      </c>
      <c r="O26" s="12">
        <f t="shared" si="0"/>
        <v>215</v>
      </c>
      <c r="P26" s="11">
        <f t="shared" si="1"/>
        <v>3010</v>
      </c>
    </row>
    <row r="27" spans="2:17" x14ac:dyDescent="0.35">
      <c r="B27" s="5">
        <v>17</v>
      </c>
      <c r="C27" s="1" t="s">
        <v>73</v>
      </c>
      <c r="D27" s="4" t="s">
        <v>74</v>
      </c>
      <c r="E27" s="54">
        <v>46025</v>
      </c>
      <c r="F27" s="31" t="s">
        <v>18</v>
      </c>
      <c r="G27" s="6"/>
      <c r="H27" s="6"/>
      <c r="I27" s="6"/>
      <c r="J27" s="10">
        <v>9300</v>
      </c>
      <c r="K27" s="57"/>
      <c r="L27" s="59">
        <v>3200</v>
      </c>
      <c r="M27" s="33"/>
      <c r="N27" s="16">
        <v>12500</v>
      </c>
      <c r="O27" s="12">
        <f t="shared" si="0"/>
        <v>625</v>
      </c>
      <c r="P27" s="11">
        <f t="shared" si="1"/>
        <v>8750</v>
      </c>
    </row>
    <row r="28" spans="2:17" x14ac:dyDescent="0.35">
      <c r="B28" s="5">
        <v>18</v>
      </c>
      <c r="C28" s="1" t="s">
        <v>75</v>
      </c>
      <c r="D28" s="4" t="s">
        <v>76</v>
      </c>
      <c r="E28" s="54">
        <v>46025</v>
      </c>
      <c r="F28" s="31" t="s">
        <v>18</v>
      </c>
      <c r="G28" s="6"/>
      <c r="H28" s="6"/>
      <c r="I28" s="6"/>
      <c r="J28" s="10">
        <v>3100</v>
      </c>
      <c r="K28" s="57"/>
      <c r="L28" s="59">
        <v>800</v>
      </c>
      <c r="M28" s="33"/>
      <c r="N28" s="16">
        <v>3900</v>
      </c>
      <c r="O28" s="12">
        <f t="shared" si="0"/>
        <v>195</v>
      </c>
      <c r="P28" s="11">
        <f t="shared" si="1"/>
        <v>2730</v>
      </c>
    </row>
    <row r="29" spans="2:17" ht="27.5" customHeight="1" x14ac:dyDescent="0.35">
      <c r="B29" s="5">
        <v>19</v>
      </c>
      <c r="C29" s="1" t="s">
        <v>77</v>
      </c>
      <c r="D29" s="4" t="s">
        <v>64</v>
      </c>
      <c r="E29" s="54">
        <v>46025</v>
      </c>
      <c r="F29" s="31" t="s">
        <v>109</v>
      </c>
      <c r="G29" s="6"/>
      <c r="H29" s="16">
        <v>1080</v>
      </c>
      <c r="I29" s="6"/>
      <c r="J29" s="10">
        <v>3100</v>
      </c>
      <c r="K29" s="57"/>
      <c r="L29" s="59">
        <v>800</v>
      </c>
      <c r="M29" s="33"/>
      <c r="N29" s="16">
        <v>4980</v>
      </c>
      <c r="O29" s="12">
        <f t="shared" si="0"/>
        <v>249</v>
      </c>
      <c r="P29" s="11">
        <f t="shared" si="1"/>
        <v>3486</v>
      </c>
    </row>
    <row r="30" spans="2:17" x14ac:dyDescent="0.35">
      <c r="B30" s="5">
        <v>20</v>
      </c>
      <c r="C30" s="1" t="s">
        <v>78</v>
      </c>
      <c r="D30" s="4" t="s">
        <v>47</v>
      </c>
      <c r="E30" s="54">
        <v>46025</v>
      </c>
      <c r="F30" s="31" t="s">
        <v>16</v>
      </c>
      <c r="G30" s="6"/>
      <c r="H30" s="16">
        <v>2025</v>
      </c>
      <c r="I30" s="6"/>
      <c r="J30" s="10"/>
      <c r="K30" s="57"/>
      <c r="L30" s="59"/>
      <c r="M30" s="33"/>
      <c r="N30" s="16">
        <v>2025</v>
      </c>
      <c r="O30" s="12">
        <f t="shared" si="0"/>
        <v>101.25</v>
      </c>
      <c r="P30" s="11">
        <f t="shared" si="1"/>
        <v>1417.5</v>
      </c>
    </row>
    <row r="31" spans="2:17" x14ac:dyDescent="0.35">
      <c r="B31" s="5">
        <v>21</v>
      </c>
      <c r="C31" s="1" t="s">
        <v>79</v>
      </c>
      <c r="D31" s="4" t="s">
        <v>80</v>
      </c>
      <c r="E31" s="54">
        <v>46025</v>
      </c>
      <c r="F31" s="31" t="s">
        <v>16</v>
      </c>
      <c r="G31" s="6"/>
      <c r="H31" s="16">
        <v>2025</v>
      </c>
      <c r="I31" s="6"/>
      <c r="J31" s="10"/>
      <c r="K31" s="57"/>
      <c r="L31" s="59"/>
      <c r="M31" s="33"/>
      <c r="N31" s="16">
        <v>2025</v>
      </c>
      <c r="O31" s="12">
        <f t="shared" si="0"/>
        <v>101.25</v>
      </c>
      <c r="P31" s="11">
        <f t="shared" si="1"/>
        <v>1417.5</v>
      </c>
    </row>
    <row r="32" spans="2:17" x14ac:dyDescent="0.35">
      <c r="B32" s="5">
        <v>22</v>
      </c>
      <c r="C32" s="1" t="s">
        <v>81</v>
      </c>
      <c r="D32" s="4" t="s">
        <v>66</v>
      </c>
      <c r="E32" s="54">
        <v>46025</v>
      </c>
      <c r="F32" s="31" t="s">
        <v>16</v>
      </c>
      <c r="G32" s="6"/>
      <c r="H32" s="16">
        <v>1080</v>
      </c>
      <c r="I32" s="6"/>
      <c r="J32" s="10"/>
      <c r="K32" s="57"/>
      <c r="L32" s="59"/>
      <c r="M32" s="33"/>
      <c r="N32" s="16">
        <v>1080</v>
      </c>
      <c r="O32" s="12">
        <f t="shared" si="0"/>
        <v>54</v>
      </c>
      <c r="P32" s="11">
        <f t="shared" si="1"/>
        <v>756</v>
      </c>
    </row>
    <row r="33" spans="2:16" x14ac:dyDescent="0.35">
      <c r="B33" s="5">
        <v>23</v>
      </c>
      <c r="C33" s="1" t="s">
        <v>82</v>
      </c>
      <c r="D33" s="4" t="s">
        <v>66</v>
      </c>
      <c r="E33" s="54">
        <v>46025</v>
      </c>
      <c r="F33" s="31" t="s">
        <v>16</v>
      </c>
      <c r="G33" s="6"/>
      <c r="H33" s="16">
        <v>1080</v>
      </c>
      <c r="I33" s="6"/>
      <c r="J33" s="10"/>
      <c r="K33" s="57"/>
      <c r="L33" s="59"/>
      <c r="M33" s="33"/>
      <c r="N33" s="16">
        <v>1080</v>
      </c>
      <c r="O33" s="12">
        <f t="shared" si="0"/>
        <v>54</v>
      </c>
      <c r="P33" s="11">
        <f t="shared" si="1"/>
        <v>756</v>
      </c>
    </row>
    <row r="34" spans="2:16" x14ac:dyDescent="0.35">
      <c r="B34" s="5">
        <v>24</v>
      </c>
      <c r="C34" s="1" t="s">
        <v>83</v>
      </c>
      <c r="D34" s="4" t="s">
        <v>76</v>
      </c>
      <c r="E34" s="54">
        <v>46025</v>
      </c>
      <c r="F34" s="31" t="s">
        <v>16</v>
      </c>
      <c r="G34" s="6"/>
      <c r="H34" s="16">
        <v>1080</v>
      </c>
      <c r="I34" s="6"/>
      <c r="J34" s="10"/>
      <c r="K34" s="57"/>
      <c r="L34" s="59"/>
      <c r="M34" s="33"/>
      <c r="N34" s="16">
        <v>1080</v>
      </c>
      <c r="O34" s="12">
        <f t="shared" si="0"/>
        <v>54</v>
      </c>
      <c r="P34" s="11">
        <f t="shared" si="1"/>
        <v>756</v>
      </c>
    </row>
    <row r="35" spans="2:16" ht="52.5" customHeight="1" x14ac:dyDescent="0.35">
      <c r="B35" s="5">
        <v>25</v>
      </c>
      <c r="C35" s="1" t="s">
        <v>84</v>
      </c>
      <c r="D35" s="60" t="s">
        <v>85</v>
      </c>
      <c r="E35" s="54">
        <v>46025</v>
      </c>
      <c r="F35" s="31" t="s">
        <v>86</v>
      </c>
      <c r="G35" s="11">
        <v>2025</v>
      </c>
      <c r="H35" s="16">
        <v>4050</v>
      </c>
      <c r="I35" s="6"/>
      <c r="J35" s="10"/>
      <c r="K35" s="57"/>
      <c r="L35" s="59"/>
      <c r="M35" s="33"/>
      <c r="N35" s="16">
        <v>6075</v>
      </c>
      <c r="O35" s="12">
        <f t="shared" si="0"/>
        <v>303.75</v>
      </c>
      <c r="P35" s="11">
        <f t="shared" si="1"/>
        <v>4252.5</v>
      </c>
    </row>
    <row r="36" spans="2:16" x14ac:dyDescent="0.35">
      <c r="B36" s="5">
        <v>26</v>
      </c>
      <c r="C36" s="1" t="s">
        <v>87</v>
      </c>
      <c r="D36" s="4" t="s">
        <v>76</v>
      </c>
      <c r="E36" s="54">
        <v>46025</v>
      </c>
      <c r="F36" s="31" t="s">
        <v>16</v>
      </c>
      <c r="G36" s="6"/>
      <c r="H36" s="16">
        <v>1080</v>
      </c>
      <c r="I36" s="6"/>
      <c r="J36" s="10"/>
      <c r="K36" s="57"/>
      <c r="L36" s="59"/>
      <c r="M36" s="33"/>
      <c r="N36" s="16">
        <v>1080</v>
      </c>
      <c r="O36" s="12">
        <f t="shared" si="0"/>
        <v>54</v>
      </c>
      <c r="P36" s="11">
        <f t="shared" si="1"/>
        <v>756</v>
      </c>
    </row>
    <row r="37" spans="2:16" ht="26.5" x14ac:dyDescent="0.35">
      <c r="B37" s="5">
        <v>27</v>
      </c>
      <c r="C37" s="1" t="s">
        <v>88</v>
      </c>
      <c r="D37" s="4" t="s">
        <v>66</v>
      </c>
      <c r="E37" s="54">
        <v>46025</v>
      </c>
      <c r="F37" s="31" t="s">
        <v>16</v>
      </c>
      <c r="G37" s="6"/>
      <c r="H37" s="16">
        <v>1080</v>
      </c>
      <c r="I37" s="6"/>
      <c r="J37" s="10"/>
      <c r="K37" s="57"/>
      <c r="L37" s="59"/>
      <c r="M37" s="33"/>
      <c r="N37" s="16">
        <v>1080</v>
      </c>
      <c r="O37" s="12">
        <f t="shared" si="0"/>
        <v>54</v>
      </c>
      <c r="P37" s="11">
        <f t="shared" si="1"/>
        <v>756</v>
      </c>
    </row>
    <row r="38" spans="2:16" ht="26.5" x14ac:dyDescent="0.35">
      <c r="B38" s="5">
        <v>28</v>
      </c>
      <c r="C38" s="1" t="s">
        <v>89</v>
      </c>
      <c r="D38" s="4" t="s">
        <v>66</v>
      </c>
      <c r="E38" s="54">
        <v>46025</v>
      </c>
      <c r="F38" s="31" t="s">
        <v>16</v>
      </c>
      <c r="G38" s="6"/>
      <c r="H38" s="16">
        <v>1080</v>
      </c>
      <c r="I38" s="6"/>
      <c r="J38" s="10"/>
      <c r="K38" s="57"/>
      <c r="L38" s="59"/>
      <c r="M38" s="33"/>
      <c r="N38" s="16">
        <v>1080</v>
      </c>
      <c r="O38" s="12">
        <f t="shared" si="0"/>
        <v>54</v>
      </c>
      <c r="P38" s="11">
        <f t="shared" si="1"/>
        <v>756</v>
      </c>
    </row>
    <row r="39" spans="2:16" ht="26.5" x14ac:dyDescent="0.35">
      <c r="B39" s="5">
        <v>29</v>
      </c>
      <c r="C39" s="1" t="s">
        <v>90</v>
      </c>
      <c r="D39" s="4" t="s">
        <v>47</v>
      </c>
      <c r="E39" s="54">
        <v>46025</v>
      </c>
      <c r="F39" s="31" t="s">
        <v>16</v>
      </c>
      <c r="G39" s="6"/>
      <c r="H39" s="16">
        <v>1080</v>
      </c>
      <c r="I39" s="6"/>
      <c r="J39" s="10"/>
      <c r="K39" s="57"/>
      <c r="L39" s="59"/>
      <c r="M39" s="33"/>
      <c r="N39" s="16">
        <v>1080</v>
      </c>
      <c r="O39" s="12">
        <f t="shared" si="0"/>
        <v>54</v>
      </c>
      <c r="P39" s="11">
        <f t="shared" si="1"/>
        <v>756</v>
      </c>
    </row>
    <row r="40" spans="2:16" ht="26.5" x14ac:dyDescent="0.35">
      <c r="B40" s="5">
        <v>30</v>
      </c>
      <c r="C40" s="1" t="s">
        <v>91</v>
      </c>
      <c r="D40" s="4" t="s">
        <v>92</v>
      </c>
      <c r="E40" s="54">
        <v>46025</v>
      </c>
      <c r="F40" s="31" t="s">
        <v>16</v>
      </c>
      <c r="G40" s="6"/>
      <c r="H40" s="16">
        <v>21105</v>
      </c>
      <c r="I40" s="6"/>
      <c r="J40" s="10"/>
      <c r="K40" s="57"/>
      <c r="L40" s="59"/>
      <c r="M40" s="33"/>
      <c r="N40" s="16">
        <v>21105</v>
      </c>
      <c r="O40" s="12">
        <f t="shared" si="0"/>
        <v>1055.25</v>
      </c>
      <c r="P40" s="11">
        <f t="shared" si="1"/>
        <v>14773.499999999998</v>
      </c>
    </row>
    <row r="41" spans="2:16" ht="26.5" x14ac:dyDescent="0.35">
      <c r="B41" s="5">
        <v>31</v>
      </c>
      <c r="C41" s="1" t="s">
        <v>93</v>
      </c>
      <c r="D41" s="4" t="s">
        <v>47</v>
      </c>
      <c r="E41" s="54">
        <v>46025</v>
      </c>
      <c r="F41" s="31" t="s">
        <v>16</v>
      </c>
      <c r="G41" s="6"/>
      <c r="H41" s="16">
        <v>2025</v>
      </c>
      <c r="I41" s="6"/>
      <c r="J41" s="10"/>
      <c r="K41" s="57"/>
      <c r="L41" s="59"/>
      <c r="M41" s="33"/>
      <c r="N41" s="16">
        <v>2025</v>
      </c>
      <c r="O41" s="12">
        <f t="shared" si="0"/>
        <v>101.25</v>
      </c>
      <c r="P41" s="11">
        <f t="shared" si="1"/>
        <v>1417.5</v>
      </c>
    </row>
    <row r="42" spans="2:16" ht="26.5" x14ac:dyDescent="0.35">
      <c r="B42" s="5">
        <v>32</v>
      </c>
      <c r="C42" s="1" t="s">
        <v>94</v>
      </c>
      <c r="D42" s="4" t="s">
        <v>76</v>
      </c>
      <c r="E42" s="54">
        <v>46025</v>
      </c>
      <c r="F42" s="31" t="s">
        <v>16</v>
      </c>
      <c r="G42" s="6"/>
      <c r="H42" s="16">
        <v>1080</v>
      </c>
      <c r="I42" s="6"/>
      <c r="J42" s="10"/>
      <c r="K42" s="57"/>
      <c r="L42" s="59"/>
      <c r="M42" s="33"/>
      <c r="N42" s="16">
        <v>1080</v>
      </c>
      <c r="O42" s="12">
        <f t="shared" si="0"/>
        <v>54</v>
      </c>
      <c r="P42" s="11">
        <f t="shared" si="1"/>
        <v>756</v>
      </c>
    </row>
    <row r="43" spans="2:16" ht="26.5" x14ac:dyDescent="0.35">
      <c r="B43" s="5">
        <v>33</v>
      </c>
      <c r="C43" s="1" t="s">
        <v>95</v>
      </c>
      <c r="D43" s="4" t="s">
        <v>64</v>
      </c>
      <c r="E43" s="54">
        <v>46025</v>
      </c>
      <c r="F43" s="31" t="s">
        <v>16</v>
      </c>
      <c r="G43" s="6"/>
      <c r="H43" s="16">
        <v>2025</v>
      </c>
      <c r="I43" s="6"/>
      <c r="J43" s="10"/>
      <c r="K43" s="57"/>
      <c r="L43" s="59"/>
      <c r="M43" s="33"/>
      <c r="N43" s="16">
        <v>2025</v>
      </c>
      <c r="O43" s="12">
        <f t="shared" si="0"/>
        <v>101.25</v>
      </c>
      <c r="P43" s="11">
        <f t="shared" si="1"/>
        <v>1417.5</v>
      </c>
    </row>
    <row r="44" spans="2:16" ht="26.5" x14ac:dyDescent="0.35">
      <c r="B44" s="5">
        <v>34</v>
      </c>
      <c r="C44" s="1" t="s">
        <v>96</v>
      </c>
      <c r="D44" s="4" t="s">
        <v>97</v>
      </c>
      <c r="E44" s="54">
        <v>46025</v>
      </c>
      <c r="F44" s="31" t="s">
        <v>16</v>
      </c>
      <c r="G44" s="6"/>
      <c r="H44" s="16">
        <v>5985</v>
      </c>
      <c r="I44" s="6"/>
      <c r="J44" s="10"/>
      <c r="K44" s="57"/>
      <c r="L44" s="59"/>
      <c r="M44" s="33"/>
      <c r="N44" s="16">
        <v>5985</v>
      </c>
      <c r="O44" s="12">
        <f t="shared" si="0"/>
        <v>299.25</v>
      </c>
      <c r="P44" s="11">
        <f t="shared" si="1"/>
        <v>4189.5</v>
      </c>
    </row>
    <row r="45" spans="2:16" ht="26.5" x14ac:dyDescent="0.35">
      <c r="B45" s="5">
        <v>35</v>
      </c>
      <c r="C45" s="1" t="s">
        <v>98</v>
      </c>
      <c r="D45" s="4" t="s">
        <v>47</v>
      </c>
      <c r="E45" s="54">
        <v>46025</v>
      </c>
      <c r="F45" s="31" t="s">
        <v>16</v>
      </c>
      <c r="G45" s="6"/>
      <c r="H45" s="16">
        <v>1080</v>
      </c>
      <c r="I45" s="6"/>
      <c r="J45" s="10"/>
      <c r="K45" s="57"/>
      <c r="L45" s="59"/>
      <c r="M45" s="33"/>
      <c r="N45" s="16">
        <v>1080</v>
      </c>
      <c r="O45" s="12">
        <f t="shared" si="0"/>
        <v>54</v>
      </c>
      <c r="P45" s="11">
        <f t="shared" si="1"/>
        <v>756</v>
      </c>
    </row>
    <row r="46" spans="2:16" ht="26.5" x14ac:dyDescent="0.35">
      <c r="B46" s="5">
        <v>36</v>
      </c>
      <c r="C46" s="1" t="s">
        <v>99</v>
      </c>
      <c r="D46" s="4" t="s">
        <v>66</v>
      </c>
      <c r="E46" s="54">
        <v>46025</v>
      </c>
      <c r="F46" s="31" t="s">
        <v>16</v>
      </c>
      <c r="G46" s="6"/>
      <c r="H46" s="16">
        <v>2025</v>
      </c>
      <c r="I46" s="6"/>
      <c r="J46" s="10"/>
      <c r="K46" s="57"/>
      <c r="L46" s="59"/>
      <c r="M46" s="33"/>
      <c r="N46" s="16">
        <v>2025</v>
      </c>
      <c r="O46" s="12">
        <f t="shared" si="0"/>
        <v>101.25</v>
      </c>
      <c r="P46" s="11">
        <f t="shared" si="1"/>
        <v>1417.5</v>
      </c>
    </row>
    <row r="47" spans="2:16" ht="26.5" x14ac:dyDescent="0.35">
      <c r="B47" s="5">
        <v>37</v>
      </c>
      <c r="C47" s="2" t="s">
        <v>100</v>
      </c>
      <c r="D47" s="4" t="s">
        <v>66</v>
      </c>
      <c r="E47" s="54">
        <v>46025</v>
      </c>
      <c r="F47" s="31" t="s">
        <v>16</v>
      </c>
      <c r="G47" s="6"/>
      <c r="H47" s="16">
        <v>1080</v>
      </c>
      <c r="I47" s="6"/>
      <c r="J47" s="10"/>
      <c r="K47" s="57"/>
      <c r="L47" s="59"/>
      <c r="M47" s="33"/>
      <c r="N47" s="16">
        <v>1080</v>
      </c>
      <c r="O47" s="12">
        <f t="shared" si="0"/>
        <v>54</v>
      </c>
      <c r="P47" s="11">
        <f t="shared" si="1"/>
        <v>756</v>
      </c>
    </row>
    <row r="48" spans="2:16" ht="26.5" x14ac:dyDescent="0.35">
      <c r="B48" s="5">
        <v>38</v>
      </c>
      <c r="C48" s="3" t="s">
        <v>101</v>
      </c>
      <c r="D48" s="4" t="s">
        <v>66</v>
      </c>
      <c r="E48" s="54">
        <v>46025</v>
      </c>
      <c r="F48" s="31" t="s">
        <v>16</v>
      </c>
      <c r="G48" s="6"/>
      <c r="H48" s="16">
        <v>2025</v>
      </c>
      <c r="I48" s="6"/>
      <c r="J48" s="10"/>
      <c r="K48" s="57"/>
      <c r="L48" s="59"/>
      <c r="M48" s="33"/>
      <c r="N48" s="16">
        <v>2025</v>
      </c>
      <c r="O48" s="12">
        <f t="shared" si="0"/>
        <v>101.25</v>
      </c>
      <c r="P48" s="11">
        <f t="shared" si="1"/>
        <v>1417.5</v>
      </c>
    </row>
    <row r="49" spans="2:16" ht="26.5" x14ac:dyDescent="0.35">
      <c r="B49" s="5">
        <v>39</v>
      </c>
      <c r="C49" s="2" t="s">
        <v>102</v>
      </c>
      <c r="D49" s="4" t="s">
        <v>66</v>
      </c>
      <c r="E49" s="54">
        <v>46025</v>
      </c>
      <c r="F49" s="31" t="s">
        <v>16</v>
      </c>
      <c r="G49" s="6"/>
      <c r="H49" s="16">
        <v>1080</v>
      </c>
      <c r="I49" s="6"/>
      <c r="J49" s="10"/>
      <c r="K49" s="57"/>
      <c r="L49" s="59"/>
      <c r="M49" s="33"/>
      <c r="N49" s="16">
        <v>1080</v>
      </c>
      <c r="O49" s="12">
        <f t="shared" si="0"/>
        <v>54</v>
      </c>
      <c r="P49" s="11">
        <f t="shared" si="1"/>
        <v>756</v>
      </c>
    </row>
    <row r="50" spans="2:16" ht="26.5" x14ac:dyDescent="0.35">
      <c r="B50" s="5">
        <v>40</v>
      </c>
      <c r="C50" s="8" t="s">
        <v>103</v>
      </c>
      <c r="D50" s="4" t="s">
        <v>46</v>
      </c>
      <c r="E50" s="54">
        <v>46025</v>
      </c>
      <c r="F50" s="31" t="s">
        <v>16</v>
      </c>
      <c r="G50" s="6"/>
      <c r="H50" s="16">
        <v>1080</v>
      </c>
      <c r="I50" s="6"/>
      <c r="J50" s="10"/>
      <c r="K50" s="57"/>
      <c r="L50" s="59"/>
      <c r="M50" s="33"/>
      <c r="N50" s="16">
        <v>1080</v>
      </c>
      <c r="O50" s="12">
        <f t="shared" si="0"/>
        <v>54</v>
      </c>
      <c r="P50" s="11">
        <f t="shared" si="1"/>
        <v>756</v>
      </c>
    </row>
    <row r="51" spans="2:16" ht="26.5" x14ac:dyDescent="0.35">
      <c r="B51" s="5">
        <v>41</v>
      </c>
      <c r="C51" s="1" t="s">
        <v>104</v>
      </c>
      <c r="D51" s="4" t="s">
        <v>66</v>
      </c>
      <c r="E51" s="54">
        <v>46025</v>
      </c>
      <c r="F51" s="31" t="s">
        <v>16</v>
      </c>
      <c r="G51" s="6"/>
      <c r="H51" s="16">
        <v>1080</v>
      </c>
      <c r="I51" s="6"/>
      <c r="J51" s="10"/>
      <c r="K51" s="57"/>
      <c r="L51" s="59"/>
      <c r="M51" s="33"/>
      <c r="N51" s="16">
        <v>1080</v>
      </c>
      <c r="O51" s="12">
        <f t="shared" si="0"/>
        <v>54</v>
      </c>
      <c r="P51" s="11">
        <f t="shared" si="1"/>
        <v>756</v>
      </c>
    </row>
    <row r="52" spans="2:16" ht="52.5" x14ac:dyDescent="0.35">
      <c r="B52" s="5">
        <v>42</v>
      </c>
      <c r="C52" s="1" t="s">
        <v>105</v>
      </c>
      <c r="D52" s="4" t="s">
        <v>66</v>
      </c>
      <c r="E52" s="54">
        <v>46025</v>
      </c>
      <c r="F52" s="31" t="s">
        <v>86</v>
      </c>
      <c r="G52" s="11">
        <v>1080</v>
      </c>
      <c r="H52" s="16">
        <v>1080</v>
      </c>
      <c r="I52" s="6"/>
      <c r="J52" s="10"/>
      <c r="K52" s="57"/>
      <c r="L52" s="59"/>
      <c r="M52" s="33"/>
      <c r="N52" s="16">
        <v>2160</v>
      </c>
      <c r="O52" s="12">
        <f t="shared" si="0"/>
        <v>108</v>
      </c>
      <c r="P52" s="11">
        <f t="shared" si="1"/>
        <v>1512</v>
      </c>
    </row>
    <row r="53" spans="2:16" x14ac:dyDescent="0.35">
      <c r="B53" s="5">
        <v>43</v>
      </c>
      <c r="C53" s="2" t="s">
        <v>106</v>
      </c>
      <c r="D53" s="103" t="s">
        <v>47</v>
      </c>
      <c r="E53" s="107">
        <v>46025</v>
      </c>
      <c r="F53" s="105" t="s">
        <v>16</v>
      </c>
      <c r="G53" s="106"/>
      <c r="H53" s="16">
        <v>1080</v>
      </c>
      <c r="I53" s="106"/>
      <c r="J53" s="10"/>
      <c r="K53" s="57"/>
      <c r="L53" s="59"/>
      <c r="M53" s="33"/>
      <c r="N53" s="16">
        <v>1080</v>
      </c>
      <c r="O53" s="12">
        <f t="shared" si="0"/>
        <v>54</v>
      </c>
      <c r="P53" s="11">
        <f t="shared" si="1"/>
        <v>756</v>
      </c>
    </row>
    <row r="54" spans="2:16" x14ac:dyDescent="0.35">
      <c r="B54" s="5">
        <v>44</v>
      </c>
      <c r="C54" s="1" t="s">
        <v>107</v>
      </c>
      <c r="D54" s="4" t="s">
        <v>66</v>
      </c>
      <c r="E54" s="54">
        <v>46025</v>
      </c>
      <c r="F54" s="31" t="s">
        <v>16</v>
      </c>
      <c r="G54" s="6"/>
      <c r="H54" s="16">
        <v>1080</v>
      </c>
      <c r="I54" s="6"/>
      <c r="J54" s="10"/>
      <c r="K54" s="57"/>
      <c r="L54" s="59"/>
      <c r="M54" s="33"/>
      <c r="N54" s="16">
        <v>1080</v>
      </c>
      <c r="O54" s="12">
        <f t="shared" si="0"/>
        <v>54</v>
      </c>
      <c r="P54" s="11">
        <f t="shared" si="1"/>
        <v>756</v>
      </c>
    </row>
    <row r="55" spans="2:16" x14ac:dyDescent="0.35">
      <c r="B55" s="5">
        <v>45</v>
      </c>
      <c r="C55" s="1" t="s">
        <v>110</v>
      </c>
      <c r="D55" s="4" t="s">
        <v>47</v>
      </c>
      <c r="E55" s="54">
        <v>46025</v>
      </c>
      <c r="F55" s="31" t="s">
        <v>16</v>
      </c>
      <c r="G55" s="6"/>
      <c r="H55" s="16">
        <v>1080</v>
      </c>
      <c r="I55" s="6"/>
      <c r="J55" s="10"/>
      <c r="K55" s="57"/>
      <c r="L55" s="59"/>
      <c r="M55" s="33"/>
      <c r="N55" s="16">
        <v>1080</v>
      </c>
      <c r="O55" s="12">
        <f t="shared" si="0"/>
        <v>54</v>
      </c>
      <c r="P55" s="11">
        <f t="shared" si="1"/>
        <v>756</v>
      </c>
    </row>
    <row r="56" spans="2:16" x14ac:dyDescent="0.35">
      <c r="B56" s="5">
        <v>46</v>
      </c>
      <c r="C56" s="1" t="s">
        <v>108</v>
      </c>
      <c r="D56" s="4" t="s">
        <v>64</v>
      </c>
      <c r="E56" s="54">
        <v>46025</v>
      </c>
      <c r="F56" s="31" t="s">
        <v>16</v>
      </c>
      <c r="G56" s="6"/>
      <c r="H56" s="16">
        <v>1080</v>
      </c>
      <c r="I56" s="6"/>
      <c r="J56" s="10"/>
      <c r="K56" s="57"/>
      <c r="L56" s="59"/>
      <c r="M56" s="33"/>
      <c r="N56" s="16">
        <v>1080</v>
      </c>
      <c r="O56" s="12">
        <f t="shared" si="0"/>
        <v>54</v>
      </c>
      <c r="P56" s="11">
        <f t="shared" si="1"/>
        <v>756</v>
      </c>
    </row>
    <row r="57" spans="2:16" ht="0.5" customHeight="1" x14ac:dyDescent="0.35">
      <c r="B57" s="5">
        <v>47</v>
      </c>
      <c r="C57" s="1"/>
      <c r="D57" s="4"/>
      <c r="E57" s="5"/>
      <c r="F57" s="15"/>
      <c r="G57" s="6"/>
      <c r="H57" s="6"/>
      <c r="I57" s="6"/>
      <c r="J57" s="9"/>
      <c r="K57" s="57"/>
      <c r="L57" s="59"/>
      <c r="M57" s="33"/>
      <c r="N57" s="16">
        <f>SUM(G57:K57)</f>
        <v>0</v>
      </c>
      <c r="O57" s="12">
        <f t="shared" si="0"/>
        <v>0</v>
      </c>
      <c r="P57" s="11">
        <f t="shared" si="1"/>
        <v>0</v>
      </c>
    </row>
    <row r="58" spans="2:16" hidden="1" x14ac:dyDescent="0.35">
      <c r="B58" s="5">
        <v>48</v>
      </c>
      <c r="C58" s="1"/>
      <c r="D58" s="4"/>
      <c r="E58" s="5"/>
      <c r="F58" s="15"/>
      <c r="G58" s="6"/>
      <c r="H58" s="6"/>
      <c r="I58" s="6"/>
      <c r="J58" s="10"/>
      <c r="K58" s="57"/>
      <c r="L58" s="59"/>
      <c r="M58" s="33"/>
      <c r="N58" s="16">
        <f>SUM(G58:K58)</f>
        <v>0</v>
      </c>
      <c r="O58" s="12">
        <f t="shared" si="0"/>
        <v>0</v>
      </c>
      <c r="P58" s="11">
        <f t="shared" si="1"/>
        <v>0</v>
      </c>
    </row>
    <row r="59" spans="2:16" hidden="1" x14ac:dyDescent="0.35">
      <c r="B59" s="5">
        <v>49</v>
      </c>
      <c r="C59" s="1"/>
      <c r="D59" s="4"/>
      <c r="E59" s="5"/>
      <c r="F59" s="15"/>
      <c r="G59" s="6"/>
      <c r="H59" s="6"/>
      <c r="I59" s="6"/>
      <c r="J59" s="9"/>
      <c r="K59" s="57"/>
      <c r="L59" s="59"/>
      <c r="M59" s="33"/>
      <c r="N59" s="16">
        <f>SUM(G59:K59)</f>
        <v>0</v>
      </c>
      <c r="O59" s="12">
        <f t="shared" si="0"/>
        <v>0</v>
      </c>
      <c r="P59" s="11">
        <f t="shared" si="1"/>
        <v>0</v>
      </c>
    </row>
    <row r="60" spans="2:16" hidden="1" x14ac:dyDescent="0.35">
      <c r="B60" s="5">
        <v>50</v>
      </c>
      <c r="C60" s="1"/>
      <c r="D60" s="4"/>
      <c r="E60" s="5"/>
      <c r="F60" s="15"/>
      <c r="G60" s="6"/>
      <c r="H60" s="6"/>
      <c r="I60" s="6"/>
      <c r="J60" s="9"/>
      <c r="K60" s="57"/>
      <c r="L60" s="59"/>
      <c r="M60" s="33"/>
      <c r="N60" s="16">
        <f>SUM(G60:K60)</f>
        <v>0</v>
      </c>
      <c r="O60" s="12">
        <f t="shared" si="0"/>
        <v>0</v>
      </c>
      <c r="P60" s="11">
        <f t="shared" si="1"/>
        <v>0</v>
      </c>
    </row>
    <row r="61" spans="2:16" ht="0.5" customHeight="1" x14ac:dyDescent="0.35">
      <c r="B61" s="5">
        <v>51</v>
      </c>
      <c r="C61" s="1"/>
      <c r="D61" s="4"/>
      <c r="E61" s="5"/>
      <c r="F61" s="15"/>
      <c r="G61" s="6"/>
      <c r="H61" s="6"/>
      <c r="I61" s="6"/>
      <c r="J61" s="9"/>
      <c r="K61" s="57"/>
      <c r="L61" s="59"/>
      <c r="M61" s="33"/>
      <c r="N61" s="16">
        <f>SUM(G61:K61)</f>
        <v>0</v>
      </c>
      <c r="O61" s="12">
        <f t="shared" si="0"/>
        <v>0</v>
      </c>
      <c r="P61" s="11">
        <f t="shared" si="1"/>
        <v>0</v>
      </c>
    </row>
    <row r="62" spans="2:16" ht="15" thickBot="1" x14ac:dyDescent="0.4">
      <c r="B62" s="17"/>
      <c r="C62" s="18" t="s">
        <v>12</v>
      </c>
      <c r="D62" s="17"/>
      <c r="E62" s="17"/>
      <c r="F62" s="19"/>
      <c r="G62" s="20">
        <f>SUM(G11:G61)</f>
        <v>4185</v>
      </c>
      <c r="H62" s="20">
        <f>SUM(H11:H61)</f>
        <v>85320</v>
      </c>
      <c r="I62" s="20">
        <f>SUM(I11:I61)</f>
        <v>233206.45</v>
      </c>
      <c r="J62" s="20">
        <f>SUM(J11:J61)</f>
        <v>239318.42</v>
      </c>
      <c r="K62" s="58">
        <f>SUM(K11:K61)</f>
        <v>0</v>
      </c>
      <c r="L62" s="58">
        <f>SUM(L11:L61)</f>
        <v>29380.69</v>
      </c>
      <c r="M62" s="58">
        <f>SUM(M11:M61)</f>
        <v>0</v>
      </c>
      <c r="N62" s="16">
        <v>591410.56000000006</v>
      </c>
      <c r="O62" s="13">
        <f>SUM(O11:O61)</f>
        <v>29570.527999999998</v>
      </c>
      <c r="P62" s="21">
        <f>N62*70%</f>
        <v>413987.39199999999</v>
      </c>
    </row>
    <row r="63" spans="2:16" x14ac:dyDescent="0.35">
      <c r="B63" s="22"/>
      <c r="C63" s="22"/>
      <c r="D63" s="22"/>
      <c r="E63" s="22"/>
      <c r="F63" s="22"/>
      <c r="G63" s="22"/>
      <c r="H63" s="22"/>
      <c r="I63" s="22"/>
      <c r="J63" s="23"/>
      <c r="K63" s="22"/>
      <c r="L63" s="22"/>
      <c r="M63" s="22"/>
      <c r="N63" s="24"/>
      <c r="O63" s="25"/>
      <c r="P63" s="26"/>
    </row>
    <row r="64" spans="2:16" x14ac:dyDescent="0.35">
      <c r="B64" s="7"/>
      <c r="C64" t="s">
        <v>8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</row>
    <row r="65" spans="2:16" x14ac:dyDescent="0.35"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</row>
    <row r="68" spans="2:16" x14ac:dyDescent="0.35">
      <c r="C68" t="s">
        <v>125</v>
      </c>
    </row>
  </sheetData>
  <mergeCells count="9">
    <mergeCell ref="B8:F9"/>
    <mergeCell ref="G8:K8"/>
    <mergeCell ref="M8:P9"/>
    <mergeCell ref="G9:J9"/>
    <mergeCell ref="B4:C4"/>
    <mergeCell ref="D4:F4"/>
    <mergeCell ref="B5:C5"/>
    <mergeCell ref="D5:F5"/>
    <mergeCell ref="B7:P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C694-A588-4F2E-8463-865A57F8FECD}">
  <dimension ref="B3:Q68"/>
  <sheetViews>
    <sheetView tabSelected="1" topLeftCell="A40" zoomScale="55" zoomScaleNormal="55" workbookViewId="0">
      <selection activeCell="C68" sqref="C68"/>
    </sheetView>
  </sheetViews>
  <sheetFormatPr defaultRowHeight="14.5" x14ac:dyDescent="0.35"/>
  <cols>
    <col min="3" max="3" width="22.81640625" customWidth="1"/>
    <col min="7" max="7" width="14" bestFit="1" customWidth="1"/>
    <col min="8" max="8" width="16.81640625" bestFit="1" customWidth="1"/>
    <col min="9" max="9" width="16" bestFit="1" customWidth="1"/>
    <col min="10" max="10" width="24.54296875" bestFit="1" customWidth="1"/>
    <col min="11" max="11" width="13.453125" customWidth="1"/>
    <col min="12" max="12" width="14.1796875" bestFit="1" customWidth="1"/>
    <col min="13" max="13" width="9.90625" bestFit="1" customWidth="1"/>
    <col min="14" max="14" width="16" bestFit="1" customWidth="1"/>
    <col min="15" max="15" width="14.453125" bestFit="1" customWidth="1"/>
    <col min="16" max="16" width="18.1796875" bestFit="1" customWidth="1"/>
  </cols>
  <sheetData>
    <row r="3" spans="2:17" x14ac:dyDescent="0.35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spans="2:17" x14ac:dyDescent="0.35">
      <c r="B4" s="80" t="s">
        <v>10</v>
      </c>
      <c r="C4" s="80"/>
      <c r="D4" s="81" t="s">
        <v>116</v>
      </c>
      <c r="E4" s="81"/>
      <c r="F4" s="81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2:17" x14ac:dyDescent="0.35">
      <c r="B5" s="80" t="s">
        <v>11</v>
      </c>
      <c r="C5" s="80"/>
      <c r="D5" s="82"/>
      <c r="E5" s="82"/>
      <c r="F5" s="82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spans="2:17" x14ac:dyDescent="0.35"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pans="2:17" ht="21.5" thickBot="1" x14ac:dyDescent="0.4">
      <c r="B7" s="83" t="s">
        <v>114</v>
      </c>
      <c r="C7" s="83"/>
      <c r="D7" s="83"/>
      <c r="E7" s="83"/>
      <c r="F7" s="83"/>
      <c r="G7" s="84"/>
      <c r="H7" s="84"/>
      <c r="I7" s="84"/>
      <c r="J7" s="84"/>
      <c r="K7" s="84"/>
      <c r="L7" s="84"/>
      <c r="M7" s="84"/>
      <c r="N7" s="83"/>
      <c r="O7" s="83"/>
      <c r="P7" s="83"/>
      <c r="Q7" s="14"/>
    </row>
    <row r="8" spans="2:17" ht="21" x14ac:dyDescent="0.35">
      <c r="B8" s="85"/>
      <c r="C8" s="86"/>
      <c r="D8" s="86"/>
      <c r="E8" s="86"/>
      <c r="F8" s="87"/>
      <c r="G8" s="91" t="s">
        <v>13</v>
      </c>
      <c r="H8" s="92"/>
      <c r="I8" s="92"/>
      <c r="J8" s="92"/>
      <c r="K8" s="93"/>
      <c r="L8" s="55"/>
      <c r="M8" s="94"/>
      <c r="N8" s="95"/>
      <c r="O8" s="95"/>
      <c r="P8" s="96"/>
      <c r="Q8" s="14"/>
    </row>
    <row r="9" spans="2:17" ht="21" x14ac:dyDescent="0.35">
      <c r="B9" s="88"/>
      <c r="C9" s="89"/>
      <c r="D9" s="89"/>
      <c r="E9" s="89"/>
      <c r="F9" s="90"/>
      <c r="G9" s="100" t="s">
        <v>19</v>
      </c>
      <c r="H9" s="101"/>
      <c r="I9" s="101"/>
      <c r="J9" s="102"/>
      <c r="K9" s="35"/>
      <c r="L9" s="56"/>
      <c r="M9" s="97"/>
      <c r="N9" s="98"/>
      <c r="O9" s="98"/>
      <c r="P9" s="99"/>
      <c r="Q9" s="14"/>
    </row>
    <row r="10" spans="2:17" ht="15.5" x14ac:dyDescent="0.35">
      <c r="B10" s="27" t="s">
        <v>0</v>
      </c>
      <c r="C10" s="27" t="s">
        <v>1</v>
      </c>
      <c r="D10" s="27" t="s">
        <v>2</v>
      </c>
      <c r="E10" s="27" t="s">
        <v>3</v>
      </c>
      <c r="F10" s="30" t="s">
        <v>7</v>
      </c>
      <c r="G10" s="27" t="s">
        <v>15</v>
      </c>
      <c r="H10" s="27" t="s">
        <v>16</v>
      </c>
      <c r="I10" s="27" t="s">
        <v>17</v>
      </c>
      <c r="J10" s="27" t="s">
        <v>120</v>
      </c>
      <c r="K10" s="30" t="s">
        <v>4</v>
      </c>
      <c r="L10" s="27" t="s">
        <v>119</v>
      </c>
      <c r="M10" s="32" t="s">
        <v>14</v>
      </c>
      <c r="N10" s="28" t="s">
        <v>5</v>
      </c>
      <c r="O10" s="27" t="s">
        <v>6</v>
      </c>
      <c r="P10" s="29" t="s">
        <v>9</v>
      </c>
      <c r="Q10" s="14"/>
    </row>
    <row r="11" spans="2:17" ht="65.5" x14ac:dyDescent="0.35">
      <c r="B11" s="5">
        <v>1</v>
      </c>
      <c r="C11" s="1" t="s">
        <v>38</v>
      </c>
      <c r="D11" s="111" t="s">
        <v>43</v>
      </c>
      <c r="E11" s="54">
        <v>46113</v>
      </c>
      <c r="F11" s="31" t="s">
        <v>53</v>
      </c>
      <c r="G11" s="6"/>
      <c r="H11" s="6"/>
      <c r="I11" s="16">
        <v>9000</v>
      </c>
      <c r="J11" s="9">
        <v>6200</v>
      </c>
      <c r="K11" s="57"/>
      <c r="L11" s="59">
        <v>400</v>
      </c>
      <c r="M11" s="33"/>
      <c r="N11" s="16">
        <v>15600</v>
      </c>
      <c r="O11" s="12">
        <f>N11*5%</f>
        <v>780</v>
      </c>
      <c r="P11" s="11">
        <f>N11*70%</f>
        <v>10920</v>
      </c>
      <c r="Q11" s="14"/>
    </row>
    <row r="12" spans="2:17" ht="104.5" x14ac:dyDescent="0.35">
      <c r="B12" s="5">
        <v>2</v>
      </c>
      <c r="C12" s="1" t="s">
        <v>39</v>
      </c>
      <c r="D12" s="4" t="s">
        <v>44</v>
      </c>
      <c r="E12" s="54">
        <v>46113</v>
      </c>
      <c r="F12" s="31" t="s">
        <v>54</v>
      </c>
      <c r="G12" s="11">
        <v>1080</v>
      </c>
      <c r="H12" s="16">
        <v>7065</v>
      </c>
      <c r="I12" s="16">
        <v>90000</v>
      </c>
      <c r="J12" s="9">
        <v>11800</v>
      </c>
      <c r="K12" s="57"/>
      <c r="L12" s="59"/>
      <c r="M12" s="33"/>
      <c r="N12" s="16">
        <v>109945</v>
      </c>
      <c r="O12" s="12">
        <f t="shared" ref="O12:O61" si="0">N12*5%</f>
        <v>5497.25</v>
      </c>
      <c r="P12" s="11">
        <f t="shared" ref="P12:P61" si="1">N12*70%</f>
        <v>76961.5</v>
      </c>
      <c r="Q12" s="14"/>
    </row>
    <row r="13" spans="2:17" ht="39.5" x14ac:dyDescent="0.35">
      <c r="B13" s="5">
        <v>3</v>
      </c>
      <c r="C13" s="1" t="s">
        <v>40</v>
      </c>
      <c r="D13" s="4" t="s">
        <v>45</v>
      </c>
      <c r="E13" s="54">
        <v>46113</v>
      </c>
      <c r="F13" s="31" t="s">
        <v>48</v>
      </c>
      <c r="G13" s="6"/>
      <c r="H13" s="6"/>
      <c r="I13" s="16">
        <v>9000</v>
      </c>
      <c r="J13" s="9"/>
      <c r="K13" s="57"/>
      <c r="L13" s="59"/>
      <c r="M13" s="33"/>
      <c r="N13" s="16">
        <v>9000</v>
      </c>
      <c r="O13" s="12">
        <f t="shared" si="0"/>
        <v>450</v>
      </c>
      <c r="P13" s="11">
        <f t="shared" si="1"/>
        <v>6300</v>
      </c>
      <c r="Q13" s="14"/>
    </row>
    <row r="14" spans="2:17" ht="39.5" x14ac:dyDescent="0.35">
      <c r="B14" s="5">
        <v>4</v>
      </c>
      <c r="C14" s="1" t="s">
        <v>41</v>
      </c>
      <c r="D14" s="4" t="s">
        <v>46</v>
      </c>
      <c r="E14" s="54">
        <v>46113</v>
      </c>
      <c r="F14" s="31" t="s">
        <v>48</v>
      </c>
      <c r="G14" s="6"/>
      <c r="H14" s="6"/>
      <c r="I14" s="16">
        <v>21000</v>
      </c>
      <c r="J14" s="9"/>
      <c r="K14" s="57"/>
      <c r="L14" s="59"/>
      <c r="M14" s="33"/>
      <c r="N14" s="16">
        <v>21000</v>
      </c>
      <c r="O14" s="12">
        <f t="shared" si="0"/>
        <v>1050</v>
      </c>
      <c r="P14" s="11">
        <f t="shared" si="1"/>
        <v>14699.999999999998</v>
      </c>
      <c r="Q14" s="14"/>
    </row>
    <row r="15" spans="2:17" ht="39.5" x14ac:dyDescent="0.35">
      <c r="B15" s="5">
        <v>5</v>
      </c>
      <c r="C15" s="1" t="s">
        <v>42</v>
      </c>
      <c r="D15" s="4" t="s">
        <v>47</v>
      </c>
      <c r="E15" s="54">
        <v>46113</v>
      </c>
      <c r="F15" s="31" t="s">
        <v>48</v>
      </c>
      <c r="G15" s="6"/>
      <c r="H15" s="6"/>
      <c r="I15" s="16">
        <v>12000</v>
      </c>
      <c r="J15" s="10"/>
      <c r="K15" s="57"/>
      <c r="L15" s="59"/>
      <c r="M15" s="33"/>
      <c r="N15" s="16">
        <v>12000</v>
      </c>
      <c r="O15" s="12">
        <f t="shared" si="0"/>
        <v>600</v>
      </c>
      <c r="P15" s="11">
        <f t="shared" si="1"/>
        <v>8400</v>
      </c>
      <c r="Q15" s="14"/>
    </row>
    <row r="16" spans="2:17" ht="39.5" x14ac:dyDescent="0.35">
      <c r="B16" s="5">
        <v>6</v>
      </c>
      <c r="C16" s="1" t="s">
        <v>55</v>
      </c>
      <c r="D16" s="4" t="s">
        <v>56</v>
      </c>
      <c r="E16" s="54">
        <v>46113</v>
      </c>
      <c r="F16" s="31" t="s">
        <v>48</v>
      </c>
      <c r="G16" s="6"/>
      <c r="H16" s="6"/>
      <c r="I16" s="16">
        <v>30000</v>
      </c>
      <c r="J16" s="10"/>
      <c r="K16" s="57"/>
      <c r="L16" s="59"/>
      <c r="M16" s="33"/>
      <c r="N16" s="16">
        <v>30000</v>
      </c>
      <c r="O16" s="12">
        <f t="shared" si="0"/>
        <v>1500</v>
      </c>
      <c r="P16" s="11">
        <f t="shared" si="1"/>
        <v>21000</v>
      </c>
      <c r="Q16" s="14"/>
    </row>
    <row r="17" spans="2:17" ht="39.5" x14ac:dyDescent="0.35">
      <c r="B17" s="5">
        <v>7</v>
      </c>
      <c r="C17" s="1" t="s">
        <v>57</v>
      </c>
      <c r="D17" s="4" t="s">
        <v>58</v>
      </c>
      <c r="E17" s="54">
        <v>46113</v>
      </c>
      <c r="F17" s="31" t="s">
        <v>48</v>
      </c>
      <c r="G17" s="6"/>
      <c r="H17" s="6"/>
      <c r="I17" s="16">
        <v>24000</v>
      </c>
      <c r="J17" s="10"/>
      <c r="K17" s="57"/>
      <c r="L17" s="59"/>
      <c r="M17" s="33"/>
      <c r="N17" s="16">
        <v>24000</v>
      </c>
      <c r="O17" s="12">
        <f t="shared" si="0"/>
        <v>1200</v>
      </c>
      <c r="P17" s="11">
        <f t="shared" si="1"/>
        <v>16800</v>
      </c>
      <c r="Q17" s="14"/>
    </row>
    <row r="18" spans="2:17" ht="39.5" x14ac:dyDescent="0.35">
      <c r="B18" s="5">
        <v>8</v>
      </c>
      <c r="C18" s="1" t="s">
        <v>59</v>
      </c>
      <c r="D18" s="4" t="s">
        <v>45</v>
      </c>
      <c r="E18" s="54">
        <v>46113</v>
      </c>
      <c r="F18" s="31" t="s">
        <v>48</v>
      </c>
      <c r="G18" s="6"/>
      <c r="H18" s="6"/>
      <c r="I18" s="16">
        <v>5400</v>
      </c>
      <c r="J18" s="10"/>
      <c r="K18" s="57"/>
      <c r="L18" s="59"/>
      <c r="M18" s="33"/>
      <c r="N18" s="16">
        <v>5400</v>
      </c>
      <c r="O18" s="12">
        <f t="shared" si="0"/>
        <v>270</v>
      </c>
      <c r="P18" s="11">
        <f t="shared" si="1"/>
        <v>3779.9999999999995</v>
      </c>
      <c r="Q18" s="14"/>
    </row>
    <row r="19" spans="2:17" ht="39.5" x14ac:dyDescent="0.35">
      <c r="B19" s="5">
        <v>9</v>
      </c>
      <c r="C19" s="1" t="s">
        <v>60</v>
      </c>
      <c r="D19" s="4" t="s">
        <v>61</v>
      </c>
      <c r="E19" s="54">
        <v>46113</v>
      </c>
      <c r="F19" s="31" t="s">
        <v>48</v>
      </c>
      <c r="G19" s="6"/>
      <c r="H19" s="6"/>
      <c r="I19" s="16">
        <v>9000</v>
      </c>
      <c r="J19" s="10"/>
      <c r="K19" s="57"/>
      <c r="L19" s="59"/>
      <c r="M19" s="33"/>
      <c r="N19" s="16">
        <v>9000</v>
      </c>
      <c r="O19" s="12">
        <f t="shared" si="0"/>
        <v>450</v>
      </c>
      <c r="P19" s="11">
        <f t="shared" si="1"/>
        <v>6300</v>
      </c>
      <c r="Q19" s="14"/>
    </row>
    <row r="20" spans="2:17" ht="26.5" x14ac:dyDescent="0.35">
      <c r="B20" s="5">
        <v>10</v>
      </c>
      <c r="C20" s="1" t="s">
        <v>62</v>
      </c>
      <c r="D20" s="4" t="s">
        <v>47</v>
      </c>
      <c r="E20" s="54">
        <v>46113</v>
      </c>
      <c r="F20" s="31" t="s">
        <v>18</v>
      </c>
      <c r="G20" s="6"/>
      <c r="H20" s="6"/>
      <c r="I20" s="6"/>
      <c r="J20" s="10">
        <v>3100</v>
      </c>
      <c r="K20" s="57"/>
      <c r="L20" s="59">
        <v>800</v>
      </c>
      <c r="M20" s="33"/>
      <c r="N20" s="16">
        <v>3900</v>
      </c>
      <c r="O20" s="12">
        <f t="shared" si="0"/>
        <v>195</v>
      </c>
      <c r="P20" s="11">
        <f t="shared" si="1"/>
        <v>2730</v>
      </c>
      <c r="Q20" s="14"/>
    </row>
    <row r="21" spans="2:17" ht="26.5" x14ac:dyDescent="0.35">
      <c r="B21" s="5">
        <v>11</v>
      </c>
      <c r="C21" s="1" t="s">
        <v>63</v>
      </c>
      <c r="D21" s="4" t="s">
        <v>64</v>
      </c>
      <c r="E21" s="54">
        <v>46113</v>
      </c>
      <c r="F21" s="31" t="s">
        <v>18</v>
      </c>
      <c r="G21" s="6"/>
      <c r="H21" s="6"/>
      <c r="I21" s="6"/>
      <c r="J21" s="10">
        <v>3100</v>
      </c>
      <c r="K21" s="57"/>
      <c r="L21" s="59">
        <v>400</v>
      </c>
      <c r="M21" s="33"/>
      <c r="N21" s="16">
        <v>3500</v>
      </c>
      <c r="O21" s="12">
        <f t="shared" si="0"/>
        <v>175</v>
      </c>
      <c r="P21" s="11">
        <f t="shared" si="1"/>
        <v>2450</v>
      </c>
      <c r="Q21" s="14"/>
    </row>
    <row r="22" spans="2:17" ht="26.5" x14ac:dyDescent="0.35">
      <c r="B22" s="5">
        <v>12</v>
      </c>
      <c r="C22" s="1" t="s">
        <v>65</v>
      </c>
      <c r="D22" s="4" t="s">
        <v>66</v>
      </c>
      <c r="E22" s="54">
        <v>46113</v>
      </c>
      <c r="F22" s="31" t="s">
        <v>18</v>
      </c>
      <c r="G22" s="6"/>
      <c r="H22" s="6"/>
      <c r="I22" s="6"/>
      <c r="J22" s="10">
        <v>3100</v>
      </c>
      <c r="K22" s="57"/>
      <c r="L22" s="59">
        <v>400</v>
      </c>
      <c r="M22" s="33"/>
      <c r="N22" s="16">
        <v>3500</v>
      </c>
      <c r="O22" s="12">
        <f t="shared" si="0"/>
        <v>175</v>
      </c>
      <c r="P22" s="11">
        <f t="shared" si="1"/>
        <v>2450</v>
      </c>
      <c r="Q22" s="14"/>
    </row>
    <row r="23" spans="2:17" ht="26.5" x14ac:dyDescent="0.35">
      <c r="B23" s="5">
        <v>13</v>
      </c>
      <c r="C23" s="1" t="s">
        <v>67</v>
      </c>
      <c r="D23" s="4" t="s">
        <v>64</v>
      </c>
      <c r="E23" s="54">
        <v>46113</v>
      </c>
      <c r="F23" s="31" t="s">
        <v>18</v>
      </c>
      <c r="G23" s="6"/>
      <c r="H23" s="6"/>
      <c r="I23" s="6"/>
      <c r="J23" s="10">
        <v>3100</v>
      </c>
      <c r="K23" s="57"/>
      <c r="L23" s="59"/>
      <c r="M23" s="33"/>
      <c r="N23" s="16">
        <v>3100</v>
      </c>
      <c r="O23" s="12">
        <f t="shared" si="0"/>
        <v>155</v>
      </c>
      <c r="P23" s="11">
        <f t="shared" si="1"/>
        <v>2170</v>
      </c>
      <c r="Q23" s="14"/>
    </row>
    <row r="24" spans="2:17" ht="37" customHeight="1" x14ac:dyDescent="0.35">
      <c r="B24" s="5">
        <v>14</v>
      </c>
      <c r="C24" s="1" t="s">
        <v>68</v>
      </c>
      <c r="D24" s="4" t="s">
        <v>69</v>
      </c>
      <c r="E24" s="54">
        <v>46113</v>
      </c>
      <c r="F24" s="31" t="s">
        <v>54</v>
      </c>
      <c r="G24" s="6"/>
      <c r="H24" s="16">
        <v>14445</v>
      </c>
      <c r="I24" s="16">
        <v>9000</v>
      </c>
      <c r="J24" s="10">
        <v>75800</v>
      </c>
      <c r="K24" s="57"/>
      <c r="L24" s="59">
        <v>7200</v>
      </c>
      <c r="M24" s="33"/>
      <c r="N24" s="16">
        <v>106445</v>
      </c>
      <c r="O24" s="12">
        <f t="shared" si="0"/>
        <v>5322.25</v>
      </c>
      <c r="P24" s="11">
        <f t="shared" si="1"/>
        <v>74511.5</v>
      </c>
      <c r="Q24" s="14"/>
    </row>
    <row r="25" spans="2:17" ht="26.5" x14ac:dyDescent="0.35">
      <c r="B25" s="5">
        <v>15</v>
      </c>
      <c r="C25" s="1" t="s">
        <v>70</v>
      </c>
      <c r="D25" s="4" t="s">
        <v>71</v>
      </c>
      <c r="E25" s="54">
        <v>46113</v>
      </c>
      <c r="F25" s="31" t="s">
        <v>18</v>
      </c>
      <c r="G25" s="6"/>
      <c r="H25" s="6"/>
      <c r="I25" s="6"/>
      <c r="J25" s="10">
        <v>4900</v>
      </c>
      <c r="K25" s="57"/>
      <c r="L25" s="59">
        <v>2800</v>
      </c>
      <c r="M25" s="33"/>
      <c r="N25" s="16">
        <v>7700</v>
      </c>
      <c r="O25" s="12">
        <f t="shared" si="0"/>
        <v>385</v>
      </c>
      <c r="P25" s="11">
        <f t="shared" si="1"/>
        <v>5390</v>
      </c>
    </row>
    <row r="26" spans="2:17" ht="26.5" x14ac:dyDescent="0.35">
      <c r="B26" s="5">
        <v>16</v>
      </c>
      <c r="C26" s="1" t="s">
        <v>72</v>
      </c>
      <c r="D26" s="4" t="s">
        <v>71</v>
      </c>
      <c r="E26" s="54">
        <v>46113</v>
      </c>
      <c r="F26" s="31" t="s">
        <v>18</v>
      </c>
      <c r="G26" s="6"/>
      <c r="H26" s="6"/>
      <c r="I26" s="6"/>
      <c r="J26" s="10">
        <v>3100</v>
      </c>
      <c r="K26" s="57"/>
      <c r="L26" s="59">
        <v>1200</v>
      </c>
      <c r="M26" s="33"/>
      <c r="N26" s="16">
        <v>4300</v>
      </c>
      <c r="O26" s="12">
        <f t="shared" si="0"/>
        <v>215</v>
      </c>
      <c r="P26" s="11">
        <f t="shared" si="1"/>
        <v>3010</v>
      </c>
    </row>
    <row r="27" spans="2:17" ht="26.5" x14ac:dyDescent="0.35">
      <c r="B27" s="5">
        <v>17</v>
      </c>
      <c r="C27" s="1" t="s">
        <v>73</v>
      </c>
      <c r="D27" s="4" t="s">
        <v>74</v>
      </c>
      <c r="E27" s="54">
        <v>46113</v>
      </c>
      <c r="F27" s="31" t="s">
        <v>18</v>
      </c>
      <c r="G27" s="6"/>
      <c r="H27" s="6"/>
      <c r="I27" s="6"/>
      <c r="J27" s="10">
        <v>9300</v>
      </c>
      <c r="K27" s="57"/>
      <c r="L27" s="59">
        <v>3200</v>
      </c>
      <c r="M27" s="33"/>
      <c r="N27" s="16">
        <v>12500</v>
      </c>
      <c r="O27" s="12">
        <f t="shared" si="0"/>
        <v>625</v>
      </c>
      <c r="P27" s="11">
        <f t="shared" si="1"/>
        <v>8750</v>
      </c>
    </row>
    <row r="28" spans="2:17" ht="26.5" x14ac:dyDescent="0.35">
      <c r="B28" s="5">
        <v>18</v>
      </c>
      <c r="C28" s="1" t="s">
        <v>75</v>
      </c>
      <c r="D28" s="4" t="s">
        <v>76</v>
      </c>
      <c r="E28" s="54">
        <v>46113</v>
      </c>
      <c r="F28" s="31" t="s">
        <v>18</v>
      </c>
      <c r="G28" s="6"/>
      <c r="H28" s="6"/>
      <c r="I28" s="6"/>
      <c r="J28" s="10">
        <v>3100</v>
      </c>
      <c r="K28" s="57"/>
      <c r="L28" s="59">
        <v>800</v>
      </c>
      <c r="M28" s="33"/>
      <c r="N28" s="16">
        <v>3900</v>
      </c>
      <c r="O28" s="12">
        <f t="shared" si="0"/>
        <v>195</v>
      </c>
      <c r="P28" s="11">
        <f t="shared" si="1"/>
        <v>2730</v>
      </c>
    </row>
    <row r="29" spans="2:17" ht="65.5" x14ac:dyDescent="0.35">
      <c r="B29" s="5">
        <v>19</v>
      </c>
      <c r="C29" s="1" t="s">
        <v>77</v>
      </c>
      <c r="D29" s="4" t="s">
        <v>64</v>
      </c>
      <c r="E29" s="54">
        <v>46113</v>
      </c>
      <c r="F29" s="31" t="s">
        <v>109</v>
      </c>
      <c r="G29" s="6"/>
      <c r="H29" s="16">
        <v>1080</v>
      </c>
      <c r="I29" s="6"/>
      <c r="J29" s="10">
        <v>3100</v>
      </c>
      <c r="K29" s="57"/>
      <c r="L29" s="59">
        <v>800</v>
      </c>
      <c r="M29" s="33"/>
      <c r="N29" s="16">
        <v>4980</v>
      </c>
      <c r="O29" s="12">
        <f t="shared" si="0"/>
        <v>249</v>
      </c>
      <c r="P29" s="11">
        <f t="shared" si="1"/>
        <v>3486</v>
      </c>
    </row>
    <row r="30" spans="2:17" ht="39.5" x14ac:dyDescent="0.35">
      <c r="B30" s="5">
        <v>20</v>
      </c>
      <c r="C30" s="1" t="s">
        <v>78</v>
      </c>
      <c r="D30" s="4" t="s">
        <v>47</v>
      </c>
      <c r="E30" s="54">
        <v>46113</v>
      </c>
      <c r="F30" s="31" t="s">
        <v>16</v>
      </c>
      <c r="G30" s="6"/>
      <c r="H30" s="16">
        <v>2025</v>
      </c>
      <c r="I30" s="6"/>
      <c r="J30" s="10"/>
      <c r="K30" s="57"/>
      <c r="L30" s="59"/>
      <c r="M30" s="33"/>
      <c r="N30" s="16">
        <v>2025</v>
      </c>
      <c r="O30" s="12">
        <f t="shared" si="0"/>
        <v>101.25</v>
      </c>
      <c r="P30" s="11">
        <f t="shared" si="1"/>
        <v>1417.5</v>
      </c>
    </row>
    <row r="31" spans="2:17" ht="39.5" x14ac:dyDescent="0.35">
      <c r="B31" s="5">
        <v>21</v>
      </c>
      <c r="C31" s="1" t="s">
        <v>79</v>
      </c>
      <c r="D31" s="4" t="s">
        <v>80</v>
      </c>
      <c r="E31" s="54">
        <v>46113</v>
      </c>
      <c r="F31" s="31" t="s">
        <v>16</v>
      </c>
      <c r="G31" s="6"/>
      <c r="H31" s="16">
        <v>2025</v>
      </c>
      <c r="I31" s="6"/>
      <c r="J31" s="10"/>
      <c r="K31" s="57"/>
      <c r="L31" s="59"/>
      <c r="M31" s="33"/>
      <c r="N31" s="16">
        <v>2025</v>
      </c>
      <c r="O31" s="12">
        <f t="shared" si="0"/>
        <v>101.25</v>
      </c>
      <c r="P31" s="11">
        <f t="shared" si="1"/>
        <v>1417.5</v>
      </c>
    </row>
    <row r="32" spans="2:17" ht="39.5" x14ac:dyDescent="0.35">
      <c r="B32" s="5">
        <v>22</v>
      </c>
      <c r="C32" s="1" t="s">
        <v>81</v>
      </c>
      <c r="D32" s="4" t="s">
        <v>66</v>
      </c>
      <c r="E32" s="54">
        <v>46113</v>
      </c>
      <c r="F32" s="31" t="s">
        <v>16</v>
      </c>
      <c r="G32" s="6"/>
      <c r="H32" s="16">
        <v>1080</v>
      </c>
      <c r="I32" s="6"/>
      <c r="J32" s="10"/>
      <c r="K32" s="57"/>
      <c r="L32" s="59"/>
      <c r="M32" s="33"/>
      <c r="N32" s="16">
        <v>1080</v>
      </c>
      <c r="O32" s="12">
        <f t="shared" si="0"/>
        <v>54</v>
      </c>
      <c r="P32" s="11">
        <f t="shared" si="1"/>
        <v>756</v>
      </c>
    </row>
    <row r="33" spans="2:16" ht="39.5" x14ac:dyDescent="0.35">
      <c r="B33" s="5">
        <v>23</v>
      </c>
      <c r="C33" s="1" t="s">
        <v>82</v>
      </c>
      <c r="D33" s="4" t="s">
        <v>66</v>
      </c>
      <c r="E33" s="54">
        <v>46113</v>
      </c>
      <c r="F33" s="31" t="s">
        <v>16</v>
      </c>
      <c r="G33" s="6"/>
      <c r="H33" s="16">
        <v>1080</v>
      </c>
      <c r="I33" s="6"/>
      <c r="J33" s="10"/>
      <c r="K33" s="57"/>
      <c r="L33" s="59"/>
      <c r="M33" s="33"/>
      <c r="N33" s="16">
        <v>1080</v>
      </c>
      <c r="O33" s="12">
        <f t="shared" si="0"/>
        <v>54</v>
      </c>
      <c r="P33" s="11">
        <f t="shared" si="1"/>
        <v>756</v>
      </c>
    </row>
    <row r="34" spans="2:16" ht="39.5" x14ac:dyDescent="0.35">
      <c r="B34" s="5">
        <v>24</v>
      </c>
      <c r="C34" s="1" t="s">
        <v>83</v>
      </c>
      <c r="D34" s="4" t="s">
        <v>76</v>
      </c>
      <c r="E34" s="54">
        <v>46113</v>
      </c>
      <c r="F34" s="31" t="s">
        <v>16</v>
      </c>
      <c r="G34" s="6"/>
      <c r="H34" s="16">
        <v>1080</v>
      </c>
      <c r="I34" s="6"/>
      <c r="J34" s="10"/>
      <c r="K34" s="57"/>
      <c r="L34" s="59"/>
      <c r="M34" s="33"/>
      <c r="N34" s="16">
        <v>1080</v>
      </c>
      <c r="O34" s="12">
        <f t="shared" si="0"/>
        <v>54</v>
      </c>
      <c r="P34" s="11">
        <f t="shared" si="1"/>
        <v>756</v>
      </c>
    </row>
    <row r="35" spans="2:16" ht="52.5" x14ac:dyDescent="0.35">
      <c r="B35" s="5">
        <v>25</v>
      </c>
      <c r="C35" s="1" t="s">
        <v>84</v>
      </c>
      <c r="D35" s="60" t="s">
        <v>85</v>
      </c>
      <c r="E35" s="54">
        <v>46113</v>
      </c>
      <c r="F35" s="31" t="s">
        <v>86</v>
      </c>
      <c r="G35" s="11">
        <v>2025</v>
      </c>
      <c r="H35" s="16">
        <v>4050</v>
      </c>
      <c r="I35" s="6"/>
      <c r="J35" s="10"/>
      <c r="K35" s="57"/>
      <c r="L35" s="59"/>
      <c r="M35" s="33"/>
      <c r="N35" s="16">
        <v>6075</v>
      </c>
      <c r="O35" s="12">
        <f t="shared" si="0"/>
        <v>303.75</v>
      </c>
      <c r="P35" s="11">
        <f t="shared" si="1"/>
        <v>4252.5</v>
      </c>
    </row>
    <row r="36" spans="2:16" ht="39.5" x14ac:dyDescent="0.35">
      <c r="B36" s="5">
        <v>26</v>
      </c>
      <c r="C36" s="1" t="s">
        <v>87</v>
      </c>
      <c r="D36" s="4" t="s">
        <v>76</v>
      </c>
      <c r="E36" s="54">
        <v>46113</v>
      </c>
      <c r="F36" s="31" t="s">
        <v>16</v>
      </c>
      <c r="G36" s="6"/>
      <c r="H36" s="16">
        <v>1080</v>
      </c>
      <c r="I36" s="6"/>
      <c r="J36" s="10"/>
      <c r="K36" s="57"/>
      <c r="L36" s="59"/>
      <c r="M36" s="33"/>
      <c r="N36" s="16">
        <v>1080</v>
      </c>
      <c r="O36" s="12">
        <f t="shared" si="0"/>
        <v>54</v>
      </c>
      <c r="P36" s="11">
        <f t="shared" si="1"/>
        <v>756</v>
      </c>
    </row>
    <row r="37" spans="2:16" ht="39.5" x14ac:dyDescent="0.35">
      <c r="B37" s="5">
        <v>27</v>
      </c>
      <c r="C37" s="1" t="s">
        <v>88</v>
      </c>
      <c r="D37" s="4" t="s">
        <v>66</v>
      </c>
      <c r="E37" s="54">
        <v>46113</v>
      </c>
      <c r="F37" s="31" t="s">
        <v>16</v>
      </c>
      <c r="G37" s="6"/>
      <c r="H37" s="16">
        <v>1080</v>
      </c>
      <c r="I37" s="6"/>
      <c r="J37" s="10"/>
      <c r="K37" s="57"/>
      <c r="L37" s="59"/>
      <c r="M37" s="33"/>
      <c r="N37" s="16">
        <v>1080</v>
      </c>
      <c r="O37" s="12">
        <f t="shared" si="0"/>
        <v>54</v>
      </c>
      <c r="P37" s="11">
        <f t="shared" si="1"/>
        <v>756</v>
      </c>
    </row>
    <row r="38" spans="2:16" ht="39.5" x14ac:dyDescent="0.35">
      <c r="B38" s="5">
        <v>28</v>
      </c>
      <c r="C38" s="1" t="s">
        <v>89</v>
      </c>
      <c r="D38" s="4" t="s">
        <v>66</v>
      </c>
      <c r="E38" s="54">
        <v>46113</v>
      </c>
      <c r="F38" s="31" t="s">
        <v>16</v>
      </c>
      <c r="G38" s="6"/>
      <c r="H38" s="16">
        <v>1080</v>
      </c>
      <c r="I38" s="6"/>
      <c r="J38" s="10"/>
      <c r="K38" s="57"/>
      <c r="L38" s="59"/>
      <c r="M38" s="33"/>
      <c r="N38" s="16">
        <v>1080</v>
      </c>
      <c r="O38" s="12">
        <f t="shared" si="0"/>
        <v>54</v>
      </c>
      <c r="P38" s="11">
        <f t="shared" si="1"/>
        <v>756</v>
      </c>
    </row>
    <row r="39" spans="2:16" ht="39.5" x14ac:dyDescent="0.35">
      <c r="B39" s="5">
        <v>29</v>
      </c>
      <c r="C39" s="1" t="s">
        <v>90</v>
      </c>
      <c r="D39" s="4" t="s">
        <v>47</v>
      </c>
      <c r="E39" s="54">
        <v>46113</v>
      </c>
      <c r="F39" s="31" t="s">
        <v>16</v>
      </c>
      <c r="G39" s="6"/>
      <c r="H39" s="16">
        <v>1080</v>
      </c>
      <c r="I39" s="6"/>
      <c r="J39" s="10"/>
      <c r="K39" s="57"/>
      <c r="L39" s="59"/>
      <c r="M39" s="33"/>
      <c r="N39" s="16">
        <v>1080</v>
      </c>
      <c r="O39" s="12">
        <f t="shared" si="0"/>
        <v>54</v>
      </c>
      <c r="P39" s="11">
        <f t="shared" si="1"/>
        <v>756</v>
      </c>
    </row>
    <row r="40" spans="2:16" ht="39.5" x14ac:dyDescent="0.35">
      <c r="B40" s="5">
        <v>30</v>
      </c>
      <c r="C40" s="1" t="s">
        <v>91</v>
      </c>
      <c r="D40" s="4" t="s">
        <v>92</v>
      </c>
      <c r="E40" s="54">
        <v>46113</v>
      </c>
      <c r="F40" s="31" t="s">
        <v>16</v>
      </c>
      <c r="G40" s="6"/>
      <c r="H40" s="16">
        <v>21105</v>
      </c>
      <c r="I40" s="6"/>
      <c r="J40" s="10"/>
      <c r="K40" s="57"/>
      <c r="L40" s="59"/>
      <c r="M40" s="33"/>
      <c r="N40" s="16">
        <v>21105</v>
      </c>
      <c r="O40" s="12">
        <f t="shared" si="0"/>
        <v>1055.25</v>
      </c>
      <c r="P40" s="11">
        <f t="shared" si="1"/>
        <v>14773.499999999998</v>
      </c>
    </row>
    <row r="41" spans="2:16" ht="39.5" x14ac:dyDescent="0.35">
      <c r="B41" s="5">
        <v>31</v>
      </c>
      <c r="C41" s="1" t="s">
        <v>93</v>
      </c>
      <c r="D41" s="4" t="s">
        <v>47</v>
      </c>
      <c r="E41" s="54">
        <v>46113</v>
      </c>
      <c r="F41" s="31" t="s">
        <v>16</v>
      </c>
      <c r="G41" s="6"/>
      <c r="H41" s="16">
        <v>2025</v>
      </c>
      <c r="I41" s="6"/>
      <c r="J41" s="10"/>
      <c r="K41" s="57"/>
      <c r="L41" s="59"/>
      <c r="M41" s="33"/>
      <c r="N41" s="16">
        <v>2025</v>
      </c>
      <c r="O41" s="12">
        <f t="shared" si="0"/>
        <v>101.25</v>
      </c>
      <c r="P41" s="11">
        <f t="shared" si="1"/>
        <v>1417.5</v>
      </c>
    </row>
    <row r="42" spans="2:16" ht="39.5" x14ac:dyDescent="0.35">
      <c r="B42" s="5">
        <v>32</v>
      </c>
      <c r="C42" s="1" t="s">
        <v>94</v>
      </c>
      <c r="D42" s="4" t="s">
        <v>76</v>
      </c>
      <c r="E42" s="54">
        <v>46113</v>
      </c>
      <c r="F42" s="31" t="s">
        <v>16</v>
      </c>
      <c r="G42" s="6"/>
      <c r="H42" s="16">
        <v>1080</v>
      </c>
      <c r="I42" s="6"/>
      <c r="J42" s="10"/>
      <c r="K42" s="57"/>
      <c r="L42" s="59"/>
      <c r="M42" s="33"/>
      <c r="N42" s="16">
        <v>1080</v>
      </c>
      <c r="O42" s="12">
        <f t="shared" si="0"/>
        <v>54</v>
      </c>
      <c r="P42" s="11">
        <f t="shared" si="1"/>
        <v>756</v>
      </c>
    </row>
    <row r="43" spans="2:16" ht="39.5" x14ac:dyDescent="0.35">
      <c r="B43" s="5">
        <v>33</v>
      </c>
      <c r="C43" s="1" t="s">
        <v>95</v>
      </c>
      <c r="D43" s="4" t="s">
        <v>64</v>
      </c>
      <c r="E43" s="54">
        <v>46113</v>
      </c>
      <c r="F43" s="31" t="s">
        <v>16</v>
      </c>
      <c r="G43" s="6"/>
      <c r="H43" s="16">
        <v>2025</v>
      </c>
      <c r="I43" s="6"/>
      <c r="J43" s="10"/>
      <c r="K43" s="57"/>
      <c r="L43" s="59"/>
      <c r="M43" s="33"/>
      <c r="N43" s="16">
        <v>2025</v>
      </c>
      <c r="O43" s="12">
        <f t="shared" si="0"/>
        <v>101.25</v>
      </c>
      <c r="P43" s="11">
        <f t="shared" si="1"/>
        <v>1417.5</v>
      </c>
    </row>
    <row r="44" spans="2:16" ht="39.5" x14ac:dyDescent="0.35">
      <c r="B44" s="5">
        <v>34</v>
      </c>
      <c r="C44" s="1" t="s">
        <v>96</v>
      </c>
      <c r="D44" s="4" t="s">
        <v>97</v>
      </c>
      <c r="E44" s="54">
        <v>46113</v>
      </c>
      <c r="F44" s="31" t="s">
        <v>16</v>
      </c>
      <c r="G44" s="6"/>
      <c r="H44" s="16">
        <v>5985</v>
      </c>
      <c r="I44" s="6"/>
      <c r="J44" s="10"/>
      <c r="K44" s="57"/>
      <c r="L44" s="59"/>
      <c r="M44" s="33"/>
      <c r="N44" s="16">
        <v>5985</v>
      </c>
      <c r="O44" s="12">
        <f t="shared" si="0"/>
        <v>299.25</v>
      </c>
      <c r="P44" s="11">
        <f t="shared" si="1"/>
        <v>4189.5</v>
      </c>
    </row>
    <row r="45" spans="2:16" ht="39.5" x14ac:dyDescent="0.35">
      <c r="B45" s="5">
        <v>35</v>
      </c>
      <c r="C45" s="1" t="s">
        <v>98</v>
      </c>
      <c r="D45" s="4" t="s">
        <v>47</v>
      </c>
      <c r="E45" s="54">
        <v>46113</v>
      </c>
      <c r="F45" s="31" t="s">
        <v>16</v>
      </c>
      <c r="G45" s="6"/>
      <c r="H45" s="16">
        <v>1080</v>
      </c>
      <c r="I45" s="6"/>
      <c r="J45" s="10"/>
      <c r="K45" s="57"/>
      <c r="L45" s="59"/>
      <c r="M45" s="33"/>
      <c r="N45" s="16">
        <v>1080</v>
      </c>
      <c r="O45" s="12">
        <f t="shared" si="0"/>
        <v>54</v>
      </c>
      <c r="P45" s="11">
        <f t="shared" si="1"/>
        <v>756</v>
      </c>
    </row>
    <row r="46" spans="2:16" ht="39.5" x14ac:dyDescent="0.35">
      <c r="B46" s="5">
        <v>36</v>
      </c>
      <c r="C46" s="1" t="s">
        <v>99</v>
      </c>
      <c r="D46" s="4" t="s">
        <v>66</v>
      </c>
      <c r="E46" s="54">
        <v>46113</v>
      </c>
      <c r="F46" s="31" t="s">
        <v>16</v>
      </c>
      <c r="G46" s="6"/>
      <c r="H46" s="16">
        <v>2025</v>
      </c>
      <c r="I46" s="6"/>
      <c r="J46" s="10"/>
      <c r="K46" s="57"/>
      <c r="L46" s="59"/>
      <c r="M46" s="33"/>
      <c r="N46" s="16">
        <v>2025</v>
      </c>
      <c r="O46" s="12">
        <f t="shared" si="0"/>
        <v>101.25</v>
      </c>
      <c r="P46" s="11">
        <f t="shared" si="1"/>
        <v>1417.5</v>
      </c>
    </row>
    <row r="47" spans="2:16" ht="39.5" x14ac:dyDescent="0.35">
      <c r="B47" s="5">
        <v>37</v>
      </c>
      <c r="C47" s="2" t="s">
        <v>100</v>
      </c>
      <c r="D47" s="4" t="s">
        <v>66</v>
      </c>
      <c r="E47" s="54">
        <v>46113</v>
      </c>
      <c r="F47" s="31" t="s">
        <v>16</v>
      </c>
      <c r="G47" s="6"/>
      <c r="H47" s="16">
        <v>1080</v>
      </c>
      <c r="I47" s="6"/>
      <c r="J47" s="10"/>
      <c r="K47" s="57"/>
      <c r="L47" s="59"/>
      <c r="M47" s="33"/>
      <c r="N47" s="16">
        <v>1080</v>
      </c>
      <c r="O47" s="12">
        <f t="shared" si="0"/>
        <v>54</v>
      </c>
      <c r="P47" s="11">
        <f t="shared" si="1"/>
        <v>756</v>
      </c>
    </row>
    <row r="48" spans="2:16" ht="39.5" x14ac:dyDescent="0.35">
      <c r="B48" s="5">
        <v>38</v>
      </c>
      <c r="C48" s="3" t="s">
        <v>101</v>
      </c>
      <c r="D48" s="4" t="s">
        <v>66</v>
      </c>
      <c r="E48" s="54">
        <v>46113</v>
      </c>
      <c r="F48" s="31" t="s">
        <v>16</v>
      </c>
      <c r="G48" s="6"/>
      <c r="H48" s="16">
        <v>2025</v>
      </c>
      <c r="I48" s="6"/>
      <c r="J48" s="10"/>
      <c r="K48" s="57"/>
      <c r="L48" s="59"/>
      <c r="M48" s="33"/>
      <c r="N48" s="16">
        <v>2025</v>
      </c>
      <c r="O48" s="12">
        <f t="shared" si="0"/>
        <v>101.25</v>
      </c>
      <c r="P48" s="11">
        <f t="shared" si="1"/>
        <v>1417.5</v>
      </c>
    </row>
    <row r="49" spans="2:16" ht="39.5" x14ac:dyDescent="0.35">
      <c r="B49" s="5">
        <v>39</v>
      </c>
      <c r="C49" s="2" t="s">
        <v>102</v>
      </c>
      <c r="D49" s="4" t="s">
        <v>66</v>
      </c>
      <c r="E49" s="54">
        <v>46113</v>
      </c>
      <c r="F49" s="31" t="s">
        <v>16</v>
      </c>
      <c r="G49" s="6"/>
      <c r="H49" s="16">
        <v>1080</v>
      </c>
      <c r="I49" s="6"/>
      <c r="J49" s="10"/>
      <c r="K49" s="57"/>
      <c r="L49" s="59"/>
      <c r="M49" s="33"/>
      <c r="N49" s="16">
        <v>1080</v>
      </c>
      <c r="O49" s="12">
        <f t="shared" si="0"/>
        <v>54</v>
      </c>
      <c r="P49" s="11">
        <f t="shared" si="1"/>
        <v>756</v>
      </c>
    </row>
    <row r="50" spans="2:16" ht="39.5" x14ac:dyDescent="0.35">
      <c r="B50" s="5">
        <v>40</v>
      </c>
      <c r="C50" s="8" t="s">
        <v>103</v>
      </c>
      <c r="D50" s="4" t="s">
        <v>46</v>
      </c>
      <c r="E50" s="54">
        <v>46113</v>
      </c>
      <c r="F50" s="31" t="s">
        <v>16</v>
      </c>
      <c r="G50" s="6"/>
      <c r="H50" s="16">
        <v>1080</v>
      </c>
      <c r="I50" s="6"/>
      <c r="J50" s="10"/>
      <c r="K50" s="57"/>
      <c r="L50" s="59"/>
      <c r="M50" s="33"/>
      <c r="N50" s="16">
        <v>1080</v>
      </c>
      <c r="O50" s="12">
        <f t="shared" si="0"/>
        <v>54</v>
      </c>
      <c r="P50" s="11">
        <f t="shared" si="1"/>
        <v>756</v>
      </c>
    </row>
    <row r="51" spans="2:16" ht="39.5" x14ac:dyDescent="0.35">
      <c r="B51" s="5">
        <v>41</v>
      </c>
      <c r="C51" s="1" t="s">
        <v>104</v>
      </c>
      <c r="D51" s="4" t="s">
        <v>66</v>
      </c>
      <c r="E51" s="54">
        <v>46113</v>
      </c>
      <c r="F51" s="31" t="s">
        <v>16</v>
      </c>
      <c r="G51" s="6"/>
      <c r="H51" s="16">
        <v>1080</v>
      </c>
      <c r="I51" s="6"/>
      <c r="J51" s="10"/>
      <c r="K51" s="57"/>
      <c r="L51" s="59"/>
      <c r="M51" s="33"/>
      <c r="N51" s="16">
        <v>1080</v>
      </c>
      <c r="O51" s="12">
        <f t="shared" si="0"/>
        <v>54</v>
      </c>
      <c r="P51" s="11">
        <f t="shared" si="1"/>
        <v>756</v>
      </c>
    </row>
    <row r="52" spans="2:16" ht="52.5" x14ac:dyDescent="0.35">
      <c r="B52" s="5">
        <v>42</v>
      </c>
      <c r="C52" s="1" t="s">
        <v>105</v>
      </c>
      <c r="D52" s="4" t="s">
        <v>66</v>
      </c>
      <c r="E52" s="54">
        <v>46113</v>
      </c>
      <c r="F52" s="31" t="s">
        <v>86</v>
      </c>
      <c r="G52" s="11">
        <v>1080</v>
      </c>
      <c r="H52" s="16">
        <v>1080</v>
      </c>
      <c r="I52" s="6"/>
      <c r="J52" s="10"/>
      <c r="K52" s="57"/>
      <c r="L52" s="59"/>
      <c r="M52" s="33"/>
      <c r="N52" s="16">
        <v>2160</v>
      </c>
      <c r="O52" s="12">
        <f t="shared" si="0"/>
        <v>108</v>
      </c>
      <c r="P52" s="11">
        <f t="shared" si="1"/>
        <v>1512</v>
      </c>
    </row>
    <row r="53" spans="2:16" ht="39.5" x14ac:dyDescent="0.35">
      <c r="B53" s="5">
        <v>43</v>
      </c>
      <c r="C53" s="61" t="s">
        <v>106</v>
      </c>
      <c r="D53" s="62" t="s">
        <v>47</v>
      </c>
      <c r="E53" s="63">
        <v>46113</v>
      </c>
      <c r="F53" s="64" t="s">
        <v>16</v>
      </c>
      <c r="G53" s="65"/>
      <c r="H53" s="70">
        <v>735</v>
      </c>
      <c r="I53" s="65"/>
      <c r="J53" s="66"/>
      <c r="K53" s="67"/>
      <c r="L53" s="68"/>
      <c r="M53" s="69"/>
      <c r="N53" s="70">
        <v>735</v>
      </c>
      <c r="O53" s="71">
        <f t="shared" si="0"/>
        <v>36.75</v>
      </c>
      <c r="P53" s="72">
        <f t="shared" si="1"/>
        <v>514.5</v>
      </c>
    </row>
    <row r="54" spans="2:16" ht="39.5" x14ac:dyDescent="0.35">
      <c r="B54" s="5">
        <v>44</v>
      </c>
      <c r="C54" s="1" t="s">
        <v>107</v>
      </c>
      <c r="D54" s="4" t="s">
        <v>66</v>
      </c>
      <c r="E54" s="54">
        <v>46113</v>
      </c>
      <c r="F54" s="31" t="s">
        <v>16</v>
      </c>
      <c r="G54" s="6"/>
      <c r="H54" s="16">
        <v>1080</v>
      </c>
      <c r="I54" s="6"/>
      <c r="J54" s="10"/>
      <c r="K54" s="57"/>
      <c r="L54" s="59"/>
      <c r="M54" s="33"/>
      <c r="N54" s="16">
        <v>1080</v>
      </c>
      <c r="O54" s="12">
        <f t="shared" si="0"/>
        <v>54</v>
      </c>
      <c r="P54" s="11">
        <f t="shared" si="1"/>
        <v>756</v>
      </c>
    </row>
    <row r="55" spans="2:16" ht="39.5" x14ac:dyDescent="0.35">
      <c r="B55" s="5">
        <v>45</v>
      </c>
      <c r="C55" s="1" t="s">
        <v>110</v>
      </c>
      <c r="D55" s="4" t="s">
        <v>47</v>
      </c>
      <c r="E55" s="54">
        <v>46113</v>
      </c>
      <c r="F55" s="31" t="s">
        <v>16</v>
      </c>
      <c r="G55" s="6"/>
      <c r="H55" s="16">
        <v>1080</v>
      </c>
      <c r="I55" s="6"/>
      <c r="J55" s="10"/>
      <c r="K55" s="57"/>
      <c r="L55" s="59"/>
      <c r="M55" s="33"/>
      <c r="N55" s="16">
        <v>1080</v>
      </c>
      <c r="O55" s="12">
        <f t="shared" si="0"/>
        <v>54</v>
      </c>
      <c r="P55" s="11">
        <f t="shared" si="1"/>
        <v>756</v>
      </c>
    </row>
    <row r="56" spans="2:16" ht="39.5" x14ac:dyDescent="0.35">
      <c r="B56" s="5">
        <v>46</v>
      </c>
      <c r="C56" s="1" t="s">
        <v>108</v>
      </c>
      <c r="D56" s="4" t="s">
        <v>64</v>
      </c>
      <c r="E56" s="54">
        <v>46113</v>
      </c>
      <c r="F56" s="31" t="s">
        <v>16</v>
      </c>
      <c r="G56" s="6"/>
      <c r="H56" s="16">
        <v>1080</v>
      </c>
      <c r="I56" s="6"/>
      <c r="J56" s="10"/>
      <c r="K56" s="57"/>
      <c r="L56" s="59"/>
      <c r="M56" s="33"/>
      <c r="N56" s="16">
        <v>1080</v>
      </c>
      <c r="O56" s="12">
        <f t="shared" si="0"/>
        <v>54</v>
      </c>
      <c r="P56" s="11">
        <f t="shared" si="1"/>
        <v>756</v>
      </c>
    </row>
    <row r="57" spans="2:16" ht="39.5" x14ac:dyDescent="0.35">
      <c r="B57" s="5">
        <v>47</v>
      </c>
      <c r="C57" s="1" t="s">
        <v>111</v>
      </c>
      <c r="D57" s="4" t="s">
        <v>47</v>
      </c>
      <c r="E57" s="54">
        <v>46123</v>
      </c>
      <c r="F57" s="31" t="s">
        <v>16</v>
      </c>
      <c r="G57" s="6"/>
      <c r="H57" s="16">
        <v>720</v>
      </c>
      <c r="I57" s="6"/>
      <c r="J57" s="9"/>
      <c r="K57" s="57"/>
      <c r="L57" s="59"/>
      <c r="M57" s="33"/>
      <c r="N57" s="16">
        <v>720</v>
      </c>
      <c r="O57" s="12">
        <f t="shared" si="0"/>
        <v>36</v>
      </c>
      <c r="P57" s="11">
        <f t="shared" si="1"/>
        <v>503.99999999999994</v>
      </c>
    </row>
    <row r="58" spans="2:16" ht="39.5" x14ac:dyDescent="0.35">
      <c r="B58" s="5">
        <v>48</v>
      </c>
      <c r="C58" s="1" t="s">
        <v>112</v>
      </c>
      <c r="D58" s="4" t="s">
        <v>47</v>
      </c>
      <c r="E58" s="54">
        <v>46128</v>
      </c>
      <c r="F58" s="31" t="s">
        <v>16</v>
      </c>
      <c r="G58" s="6"/>
      <c r="H58" s="16">
        <v>1080</v>
      </c>
      <c r="I58" s="6"/>
      <c r="J58" s="10"/>
      <c r="K58" s="57"/>
      <c r="L58" s="59"/>
      <c r="M58" s="33"/>
      <c r="N58" s="16">
        <v>1080</v>
      </c>
      <c r="O58" s="12">
        <f t="shared" si="0"/>
        <v>54</v>
      </c>
      <c r="P58" s="11">
        <f t="shared" si="1"/>
        <v>756</v>
      </c>
    </row>
    <row r="59" spans="2:16" ht="0.5" customHeight="1" x14ac:dyDescent="0.35">
      <c r="B59" s="5">
        <v>49</v>
      </c>
      <c r="C59" s="1"/>
      <c r="D59" s="4"/>
      <c r="E59" s="5"/>
      <c r="F59" s="15"/>
      <c r="G59" s="6"/>
      <c r="H59" s="6"/>
      <c r="I59" s="6"/>
      <c r="J59" s="9"/>
      <c r="K59" s="57"/>
      <c r="L59" s="59"/>
      <c r="M59" s="33"/>
      <c r="N59" s="16">
        <f t="shared" ref="N59:N61" si="2">SUM(G59:K59)</f>
        <v>0</v>
      </c>
      <c r="O59" s="12">
        <f t="shared" si="0"/>
        <v>0</v>
      </c>
      <c r="P59" s="11">
        <f t="shared" si="1"/>
        <v>0</v>
      </c>
    </row>
    <row r="60" spans="2:16" hidden="1" x14ac:dyDescent="0.35">
      <c r="B60" s="5">
        <v>50</v>
      </c>
      <c r="C60" s="1"/>
      <c r="D60" s="4"/>
      <c r="E60" s="5"/>
      <c r="F60" s="15"/>
      <c r="G60" s="6"/>
      <c r="H60" s="6"/>
      <c r="I60" s="6"/>
      <c r="J60" s="9"/>
      <c r="K60" s="57"/>
      <c r="L60" s="59"/>
      <c r="M60" s="33"/>
      <c r="N60" s="16">
        <f t="shared" si="2"/>
        <v>0</v>
      </c>
      <c r="O60" s="12">
        <f t="shared" si="0"/>
        <v>0</v>
      </c>
      <c r="P60" s="11">
        <f t="shared" si="1"/>
        <v>0</v>
      </c>
    </row>
    <row r="61" spans="2:16" ht="0.5" hidden="1" customHeight="1" x14ac:dyDescent="0.35">
      <c r="B61" s="5">
        <v>51</v>
      </c>
      <c r="C61" s="1"/>
      <c r="D61" s="4"/>
      <c r="E61" s="5"/>
      <c r="F61" s="15"/>
      <c r="G61" s="6"/>
      <c r="H61" s="6"/>
      <c r="I61" s="6"/>
      <c r="J61" s="9"/>
      <c r="K61" s="57"/>
      <c r="L61" s="59"/>
      <c r="M61" s="33"/>
      <c r="N61" s="16">
        <f t="shared" si="2"/>
        <v>0</v>
      </c>
      <c r="O61" s="12">
        <f t="shared" si="0"/>
        <v>0</v>
      </c>
      <c r="P61" s="11">
        <f t="shared" si="1"/>
        <v>0</v>
      </c>
    </row>
    <row r="62" spans="2:16" ht="15" thickBot="1" x14ac:dyDescent="0.4">
      <c r="B62" s="17"/>
      <c r="C62" s="18" t="s">
        <v>12</v>
      </c>
      <c r="D62" s="17"/>
      <c r="E62" s="17"/>
      <c r="F62" s="19"/>
      <c r="G62" s="20">
        <f>SUM(G11:G61)</f>
        <v>4185</v>
      </c>
      <c r="H62" s="20">
        <f>SUM(H11:H61)</f>
        <v>86775</v>
      </c>
      <c r="I62" s="20">
        <f>SUM(I11:I61)</f>
        <v>218400</v>
      </c>
      <c r="J62" s="20">
        <f>SUM(J11:J61)</f>
        <v>129700</v>
      </c>
      <c r="K62" s="58">
        <f>SUM(K11:K61)</f>
        <v>0</v>
      </c>
      <c r="L62" s="58">
        <f>SUM(L11:L61)</f>
        <v>18000</v>
      </c>
      <c r="M62" s="20">
        <f>SUM(M11:M61)</f>
        <v>0</v>
      </c>
      <c r="N62" s="16">
        <v>457060</v>
      </c>
      <c r="O62" s="13">
        <f>SUM(O11:O61)</f>
        <v>22853</v>
      </c>
      <c r="P62" s="21">
        <f>N62*70%</f>
        <v>319942</v>
      </c>
    </row>
    <row r="63" spans="2:16" x14ac:dyDescent="0.35">
      <c r="B63" s="22"/>
      <c r="C63" s="22"/>
      <c r="D63" s="22"/>
      <c r="E63" s="22"/>
      <c r="F63" s="22"/>
      <c r="G63" s="22"/>
      <c r="H63" s="22"/>
      <c r="I63" s="22"/>
      <c r="J63" s="23"/>
      <c r="K63" s="22"/>
      <c r="L63" s="22"/>
      <c r="M63" s="22"/>
      <c r="N63" s="24"/>
      <c r="O63" s="25"/>
      <c r="P63" s="26"/>
    </row>
    <row r="64" spans="2:16" x14ac:dyDescent="0.35">
      <c r="B64" s="7"/>
      <c r="C64" t="s">
        <v>8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</row>
    <row r="65" spans="2:16" x14ac:dyDescent="0.35"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</row>
    <row r="67" spans="2:16" x14ac:dyDescent="0.35">
      <c r="B67" s="114" t="s">
        <v>121</v>
      </c>
      <c r="C67" s="113" t="s">
        <v>118</v>
      </c>
      <c r="F67" s="14"/>
      <c r="G67" s="14"/>
      <c r="H67" s="14"/>
    </row>
    <row r="68" spans="2:16" x14ac:dyDescent="0.35">
      <c r="B68" s="114" t="s">
        <v>122</v>
      </c>
      <c r="C68" s="113" t="s">
        <v>128</v>
      </c>
    </row>
  </sheetData>
  <mergeCells count="9">
    <mergeCell ref="B8:F9"/>
    <mergeCell ref="G8:K8"/>
    <mergeCell ref="M8:P9"/>
    <mergeCell ref="G9:J9"/>
    <mergeCell ref="B4:C4"/>
    <mergeCell ref="D4:F4"/>
    <mergeCell ref="B5:C5"/>
    <mergeCell ref="D5:F5"/>
    <mergeCell ref="B7:P7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6EBF-59DC-40FF-A9EE-A2B71627E338}">
  <dimension ref="B3:Q66"/>
  <sheetViews>
    <sheetView topLeftCell="A52" zoomScale="70" zoomScaleNormal="70" workbookViewId="0">
      <selection activeCell="B66" sqref="B66"/>
    </sheetView>
  </sheetViews>
  <sheetFormatPr defaultRowHeight="14.5" x14ac:dyDescent="0.35"/>
  <cols>
    <col min="5" max="5" width="8" bestFit="1" customWidth="1"/>
    <col min="6" max="6" width="11.6328125" bestFit="1" customWidth="1"/>
    <col min="7" max="7" width="11.7265625" bestFit="1" customWidth="1"/>
    <col min="8" max="8" width="17.08984375" bestFit="1" customWidth="1"/>
    <col min="9" max="9" width="16.26953125" bestFit="1" customWidth="1"/>
    <col min="10" max="10" width="24.54296875" bestFit="1" customWidth="1"/>
    <col min="11" max="11" width="14" bestFit="1" customWidth="1"/>
    <col min="12" max="12" width="12.26953125" bestFit="1" customWidth="1"/>
    <col min="13" max="13" width="9.90625" bestFit="1" customWidth="1"/>
    <col min="14" max="14" width="14.08984375" bestFit="1" customWidth="1"/>
    <col min="15" max="15" width="12.6328125" bestFit="1" customWidth="1"/>
    <col min="16" max="16" width="18.1796875" bestFit="1" customWidth="1"/>
  </cols>
  <sheetData>
    <row r="3" spans="2:17" x14ac:dyDescent="0.35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spans="2:17" x14ac:dyDescent="0.35">
      <c r="B4" s="80" t="s">
        <v>10</v>
      </c>
      <c r="C4" s="80"/>
      <c r="D4" s="81">
        <v>46143</v>
      </c>
      <c r="E4" s="81"/>
      <c r="F4" s="81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2:17" x14ac:dyDescent="0.35">
      <c r="B5" s="80" t="s">
        <v>11</v>
      </c>
      <c r="C5" s="80"/>
      <c r="D5" s="82"/>
      <c r="E5" s="82"/>
      <c r="F5" s="82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spans="2:17" x14ac:dyDescent="0.35"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pans="2:17" ht="21.5" thickBot="1" x14ac:dyDescent="0.4">
      <c r="B7" s="83" t="s">
        <v>115</v>
      </c>
      <c r="C7" s="83"/>
      <c r="D7" s="83"/>
      <c r="E7" s="83"/>
      <c r="F7" s="83"/>
      <c r="G7" s="84"/>
      <c r="H7" s="84"/>
      <c r="I7" s="84"/>
      <c r="J7" s="84"/>
      <c r="K7" s="84"/>
      <c r="L7" s="84"/>
      <c r="M7" s="84"/>
      <c r="N7" s="83"/>
      <c r="O7" s="83"/>
      <c r="P7" s="83"/>
      <c r="Q7" s="14"/>
    </row>
    <row r="8" spans="2:17" ht="21" x14ac:dyDescent="0.35">
      <c r="B8" s="85"/>
      <c r="C8" s="86"/>
      <c r="D8" s="86"/>
      <c r="E8" s="86"/>
      <c r="F8" s="87"/>
      <c r="G8" s="91" t="s">
        <v>13</v>
      </c>
      <c r="H8" s="92"/>
      <c r="I8" s="92"/>
      <c r="J8" s="92"/>
      <c r="K8" s="93"/>
      <c r="L8" s="55"/>
      <c r="M8" s="94"/>
      <c r="N8" s="95"/>
      <c r="O8" s="95"/>
      <c r="P8" s="96"/>
      <c r="Q8" s="14"/>
    </row>
    <row r="9" spans="2:17" ht="21" x14ac:dyDescent="0.35">
      <c r="B9" s="88"/>
      <c r="C9" s="89"/>
      <c r="D9" s="89"/>
      <c r="E9" s="89"/>
      <c r="F9" s="90"/>
      <c r="G9" s="100" t="s">
        <v>19</v>
      </c>
      <c r="H9" s="101"/>
      <c r="I9" s="101"/>
      <c r="J9" s="102"/>
      <c r="K9" s="35"/>
      <c r="L9" s="56"/>
      <c r="M9" s="97"/>
      <c r="N9" s="98"/>
      <c r="O9" s="98"/>
      <c r="P9" s="99"/>
      <c r="Q9" s="14"/>
    </row>
    <row r="10" spans="2:17" ht="15.5" x14ac:dyDescent="0.35">
      <c r="B10" s="27" t="s">
        <v>0</v>
      </c>
      <c r="C10" s="27" t="s">
        <v>1</v>
      </c>
      <c r="D10" s="27" t="s">
        <v>2</v>
      </c>
      <c r="E10" s="27" t="s">
        <v>3</v>
      </c>
      <c r="F10" s="30" t="s">
        <v>7</v>
      </c>
      <c r="G10" s="27" t="s">
        <v>15</v>
      </c>
      <c r="H10" s="27" t="s">
        <v>16</v>
      </c>
      <c r="I10" s="27" t="s">
        <v>17</v>
      </c>
      <c r="J10" s="27" t="s">
        <v>120</v>
      </c>
      <c r="K10" s="30" t="s">
        <v>4</v>
      </c>
      <c r="L10" s="27" t="s">
        <v>119</v>
      </c>
      <c r="M10" s="32" t="s">
        <v>14</v>
      </c>
      <c r="N10" s="28" t="s">
        <v>5</v>
      </c>
      <c r="O10" s="27" t="s">
        <v>6</v>
      </c>
      <c r="P10" s="29" t="s">
        <v>9</v>
      </c>
      <c r="Q10" s="14"/>
    </row>
    <row r="11" spans="2:17" ht="39.5" x14ac:dyDescent="0.35">
      <c r="B11" s="5">
        <v>1</v>
      </c>
      <c r="C11" s="1" t="s">
        <v>38</v>
      </c>
      <c r="D11" s="111" t="s">
        <v>43</v>
      </c>
      <c r="E11" s="54">
        <v>46143</v>
      </c>
      <c r="F11" s="31" t="s">
        <v>53</v>
      </c>
      <c r="G11" s="6"/>
      <c r="H11" s="6"/>
      <c r="I11" s="16">
        <v>9000</v>
      </c>
      <c r="J11" s="9">
        <v>6200</v>
      </c>
      <c r="K11" s="57"/>
      <c r="L11" s="59">
        <v>400</v>
      </c>
      <c r="M11" s="33"/>
      <c r="N11" s="16">
        <v>15600</v>
      </c>
      <c r="O11" s="12">
        <f>N11*5%</f>
        <v>780</v>
      </c>
      <c r="P11" s="11">
        <f>N11*70%</f>
        <v>10920</v>
      </c>
      <c r="Q11" s="14"/>
    </row>
    <row r="12" spans="2:17" ht="52.5" x14ac:dyDescent="0.35">
      <c r="B12" s="5">
        <v>2</v>
      </c>
      <c r="C12" s="1" t="s">
        <v>39</v>
      </c>
      <c r="D12" s="4" t="s">
        <v>44</v>
      </c>
      <c r="E12" s="54">
        <v>46143</v>
      </c>
      <c r="F12" s="31" t="s">
        <v>54</v>
      </c>
      <c r="G12" s="11">
        <v>1080</v>
      </c>
      <c r="H12" s="16">
        <v>7065</v>
      </c>
      <c r="I12" s="16">
        <v>90000</v>
      </c>
      <c r="J12" s="9">
        <v>11800</v>
      </c>
      <c r="K12" s="57"/>
      <c r="L12" s="59"/>
      <c r="M12" s="33"/>
      <c r="N12" s="16">
        <v>109945</v>
      </c>
      <c r="O12" s="12">
        <f t="shared" ref="O12:O60" si="0">N12*5%</f>
        <v>5497.25</v>
      </c>
      <c r="P12" s="11">
        <f t="shared" ref="P12:P60" si="1">N12*70%</f>
        <v>76961.5</v>
      </c>
      <c r="Q12" s="14"/>
    </row>
    <row r="13" spans="2:17" ht="26.5" x14ac:dyDescent="0.35">
      <c r="B13" s="5">
        <v>3</v>
      </c>
      <c r="C13" s="1" t="s">
        <v>40</v>
      </c>
      <c r="D13" s="4" t="s">
        <v>45</v>
      </c>
      <c r="E13" s="54">
        <v>46143</v>
      </c>
      <c r="F13" s="31" t="s">
        <v>48</v>
      </c>
      <c r="G13" s="6"/>
      <c r="H13" s="6"/>
      <c r="I13" s="16">
        <v>9000</v>
      </c>
      <c r="J13" s="9"/>
      <c r="K13" s="57"/>
      <c r="L13" s="59"/>
      <c r="M13" s="33"/>
      <c r="N13" s="16">
        <v>9000</v>
      </c>
      <c r="O13" s="12">
        <f t="shared" si="0"/>
        <v>450</v>
      </c>
      <c r="P13" s="11">
        <f t="shared" si="1"/>
        <v>6300</v>
      </c>
      <c r="Q13" s="14"/>
    </row>
    <row r="14" spans="2:17" ht="26.5" x14ac:dyDescent="0.35">
      <c r="B14" s="5">
        <v>4</v>
      </c>
      <c r="C14" s="1" t="s">
        <v>41</v>
      </c>
      <c r="D14" s="4" t="s">
        <v>46</v>
      </c>
      <c r="E14" s="54">
        <v>46143</v>
      </c>
      <c r="F14" s="31" t="s">
        <v>48</v>
      </c>
      <c r="G14" s="6"/>
      <c r="H14" s="6"/>
      <c r="I14" s="16">
        <v>21597.43</v>
      </c>
      <c r="J14" s="9"/>
      <c r="K14" s="57"/>
      <c r="L14" s="59"/>
      <c r="M14" s="33"/>
      <c r="N14" s="16">
        <v>21597.43</v>
      </c>
      <c r="O14" s="12">
        <f t="shared" si="0"/>
        <v>1079.8715</v>
      </c>
      <c r="P14" s="11">
        <f t="shared" si="1"/>
        <v>15118.200999999999</v>
      </c>
      <c r="Q14" s="14"/>
    </row>
    <row r="15" spans="2:17" ht="26.5" x14ac:dyDescent="0.35">
      <c r="B15" s="5">
        <v>5</v>
      </c>
      <c r="C15" s="1" t="s">
        <v>42</v>
      </c>
      <c r="D15" s="4" t="s">
        <v>47</v>
      </c>
      <c r="E15" s="54">
        <v>46143</v>
      </c>
      <c r="F15" s="31" t="s">
        <v>48</v>
      </c>
      <c r="G15" s="6"/>
      <c r="H15" s="6"/>
      <c r="I15" s="16">
        <v>12000</v>
      </c>
      <c r="J15" s="10"/>
      <c r="K15" s="57"/>
      <c r="L15" s="59"/>
      <c r="M15" s="33"/>
      <c r="N15" s="16">
        <v>12000</v>
      </c>
      <c r="O15" s="12">
        <f t="shared" si="0"/>
        <v>600</v>
      </c>
      <c r="P15" s="11">
        <f t="shared" si="1"/>
        <v>8400</v>
      </c>
      <c r="Q15" s="14"/>
    </row>
    <row r="16" spans="2:17" ht="26.5" x14ac:dyDescent="0.35">
      <c r="B16" s="5">
        <v>6</v>
      </c>
      <c r="C16" s="1" t="s">
        <v>55</v>
      </c>
      <c r="D16" s="4" t="s">
        <v>56</v>
      </c>
      <c r="E16" s="54">
        <v>46143</v>
      </c>
      <c r="F16" s="31" t="s">
        <v>48</v>
      </c>
      <c r="G16" s="6"/>
      <c r="H16" s="6"/>
      <c r="I16" s="16">
        <v>30000</v>
      </c>
      <c r="J16" s="10"/>
      <c r="K16" s="57"/>
      <c r="L16" s="59"/>
      <c r="M16" s="33"/>
      <c r="N16" s="16">
        <v>30000</v>
      </c>
      <c r="O16" s="12">
        <f t="shared" si="0"/>
        <v>1500</v>
      </c>
      <c r="P16" s="11">
        <f t="shared" si="1"/>
        <v>21000</v>
      </c>
      <c r="Q16" s="14"/>
    </row>
    <row r="17" spans="2:17" ht="26.5" x14ac:dyDescent="0.35">
      <c r="B17" s="5">
        <v>7</v>
      </c>
      <c r="C17" s="1" t="s">
        <v>57</v>
      </c>
      <c r="D17" s="4" t="s">
        <v>58</v>
      </c>
      <c r="E17" s="54">
        <v>46143</v>
      </c>
      <c r="F17" s="31" t="s">
        <v>48</v>
      </c>
      <c r="G17" s="6"/>
      <c r="H17" s="6"/>
      <c r="I17" s="16">
        <v>24000</v>
      </c>
      <c r="J17" s="10"/>
      <c r="K17" s="57"/>
      <c r="L17" s="59"/>
      <c r="M17" s="33"/>
      <c r="N17" s="16">
        <v>24000</v>
      </c>
      <c r="O17" s="12">
        <f t="shared" si="0"/>
        <v>1200</v>
      </c>
      <c r="P17" s="11">
        <f t="shared" si="1"/>
        <v>16800</v>
      </c>
      <c r="Q17" s="14"/>
    </row>
    <row r="18" spans="2:17" ht="26.5" x14ac:dyDescent="0.35">
      <c r="B18" s="5">
        <v>8</v>
      </c>
      <c r="C18" s="1" t="s">
        <v>59</v>
      </c>
      <c r="D18" s="4" t="s">
        <v>45</v>
      </c>
      <c r="E18" s="54">
        <v>46143</v>
      </c>
      <c r="F18" s="31" t="s">
        <v>48</v>
      </c>
      <c r="G18" s="6"/>
      <c r="H18" s="6"/>
      <c r="I18" s="16">
        <v>5400</v>
      </c>
      <c r="J18" s="10"/>
      <c r="K18" s="57"/>
      <c r="L18" s="59"/>
      <c r="M18" s="33"/>
      <c r="N18" s="16">
        <v>5400</v>
      </c>
      <c r="O18" s="12">
        <f t="shared" si="0"/>
        <v>270</v>
      </c>
      <c r="P18" s="11">
        <f t="shared" si="1"/>
        <v>3779.9999999999995</v>
      </c>
      <c r="Q18" s="14"/>
    </row>
    <row r="19" spans="2:17" ht="26.5" x14ac:dyDescent="0.35">
      <c r="B19" s="5">
        <v>9</v>
      </c>
      <c r="C19" s="1" t="s">
        <v>60</v>
      </c>
      <c r="D19" s="4" t="s">
        <v>61</v>
      </c>
      <c r="E19" s="54">
        <v>46143</v>
      </c>
      <c r="F19" s="31" t="s">
        <v>48</v>
      </c>
      <c r="G19" s="6"/>
      <c r="H19" s="6"/>
      <c r="I19" s="16">
        <v>9000</v>
      </c>
      <c r="J19" s="10"/>
      <c r="K19" s="57"/>
      <c r="L19" s="59"/>
      <c r="M19" s="33"/>
      <c r="N19" s="16">
        <v>9000</v>
      </c>
      <c r="O19" s="12">
        <f t="shared" si="0"/>
        <v>450</v>
      </c>
      <c r="P19" s="11">
        <f t="shared" si="1"/>
        <v>6300</v>
      </c>
      <c r="Q19" s="14"/>
    </row>
    <row r="20" spans="2:17" ht="26.5" x14ac:dyDescent="0.35">
      <c r="B20" s="5">
        <v>10</v>
      </c>
      <c r="C20" s="1" t="s">
        <v>62</v>
      </c>
      <c r="D20" s="4" t="s">
        <v>47</v>
      </c>
      <c r="E20" s="54">
        <v>46143</v>
      </c>
      <c r="F20" s="31" t="s">
        <v>18</v>
      </c>
      <c r="G20" s="6"/>
      <c r="H20" s="6"/>
      <c r="I20" s="6"/>
      <c r="J20" s="10">
        <v>3100</v>
      </c>
      <c r="K20" s="57"/>
      <c r="L20" s="59">
        <v>800</v>
      </c>
      <c r="M20" s="33"/>
      <c r="N20" s="16">
        <v>3900</v>
      </c>
      <c r="O20" s="12">
        <f t="shared" si="0"/>
        <v>195</v>
      </c>
      <c r="P20" s="11">
        <f t="shared" si="1"/>
        <v>2730</v>
      </c>
      <c r="Q20" s="14"/>
    </row>
    <row r="21" spans="2:17" ht="26.5" x14ac:dyDescent="0.35">
      <c r="B21" s="5">
        <v>11</v>
      </c>
      <c r="C21" s="1" t="s">
        <v>63</v>
      </c>
      <c r="D21" s="4" t="s">
        <v>64</v>
      </c>
      <c r="E21" s="54">
        <v>46143</v>
      </c>
      <c r="F21" s="31" t="s">
        <v>18</v>
      </c>
      <c r="G21" s="6"/>
      <c r="H21" s="6"/>
      <c r="I21" s="6"/>
      <c r="J21" s="10">
        <v>3100</v>
      </c>
      <c r="K21" s="57"/>
      <c r="L21" s="59">
        <v>400</v>
      </c>
      <c r="M21" s="33"/>
      <c r="N21" s="16">
        <v>3500</v>
      </c>
      <c r="O21" s="12">
        <f t="shared" si="0"/>
        <v>175</v>
      </c>
      <c r="P21" s="11">
        <f t="shared" si="1"/>
        <v>2450</v>
      </c>
      <c r="Q21" s="14"/>
    </row>
    <row r="22" spans="2:17" ht="26.5" x14ac:dyDescent="0.35">
      <c r="B22" s="5">
        <v>12</v>
      </c>
      <c r="C22" s="1" t="s">
        <v>65</v>
      </c>
      <c r="D22" s="4" t="s">
        <v>66</v>
      </c>
      <c r="E22" s="54">
        <v>46143</v>
      </c>
      <c r="F22" s="31" t="s">
        <v>18</v>
      </c>
      <c r="G22" s="6"/>
      <c r="H22" s="6"/>
      <c r="I22" s="6"/>
      <c r="J22" s="10">
        <v>3100</v>
      </c>
      <c r="K22" s="57"/>
      <c r="L22" s="59">
        <v>400</v>
      </c>
      <c r="M22" s="33"/>
      <c r="N22" s="16">
        <v>3500</v>
      </c>
      <c r="O22" s="12">
        <f t="shared" si="0"/>
        <v>175</v>
      </c>
      <c r="P22" s="11">
        <f t="shared" si="1"/>
        <v>2450</v>
      </c>
      <c r="Q22" s="14"/>
    </row>
    <row r="23" spans="2:17" ht="26.5" x14ac:dyDescent="0.35">
      <c r="B23" s="5">
        <v>13</v>
      </c>
      <c r="C23" s="1" t="s">
        <v>67</v>
      </c>
      <c r="D23" s="4" t="s">
        <v>64</v>
      </c>
      <c r="E23" s="54">
        <v>46143</v>
      </c>
      <c r="F23" s="31" t="s">
        <v>18</v>
      </c>
      <c r="G23" s="6"/>
      <c r="H23" s="6"/>
      <c r="I23" s="6"/>
      <c r="J23" s="10">
        <v>3100</v>
      </c>
      <c r="K23" s="57"/>
      <c r="L23" s="59"/>
      <c r="M23" s="33"/>
      <c r="N23" s="16">
        <v>3100</v>
      </c>
      <c r="O23" s="12">
        <f t="shared" si="0"/>
        <v>155</v>
      </c>
      <c r="P23" s="11">
        <f t="shared" si="1"/>
        <v>2170</v>
      </c>
      <c r="Q23" s="14"/>
    </row>
    <row r="24" spans="2:17" ht="52.5" x14ac:dyDescent="0.35">
      <c r="B24" s="5">
        <v>14</v>
      </c>
      <c r="C24" s="1" t="s">
        <v>68</v>
      </c>
      <c r="D24" s="4" t="s">
        <v>69</v>
      </c>
      <c r="E24" s="54">
        <v>46143</v>
      </c>
      <c r="F24" s="31" t="s">
        <v>54</v>
      </c>
      <c r="G24" s="6"/>
      <c r="H24" s="16">
        <v>14445</v>
      </c>
      <c r="I24" s="16">
        <v>9000</v>
      </c>
      <c r="J24" s="10">
        <v>75800</v>
      </c>
      <c r="K24" s="57"/>
      <c r="L24" s="59">
        <v>7200</v>
      </c>
      <c r="M24" s="33"/>
      <c r="N24" s="16">
        <v>106445</v>
      </c>
      <c r="O24" s="12">
        <f t="shared" si="0"/>
        <v>5322.25</v>
      </c>
      <c r="P24" s="11">
        <f t="shared" si="1"/>
        <v>74511.5</v>
      </c>
      <c r="Q24" s="14"/>
    </row>
    <row r="25" spans="2:17" ht="26.5" x14ac:dyDescent="0.35">
      <c r="B25" s="5">
        <v>15</v>
      </c>
      <c r="C25" s="1" t="s">
        <v>70</v>
      </c>
      <c r="D25" s="4" t="s">
        <v>71</v>
      </c>
      <c r="E25" s="54">
        <v>46143</v>
      </c>
      <c r="F25" s="31" t="s">
        <v>18</v>
      </c>
      <c r="G25" s="6"/>
      <c r="H25" s="6"/>
      <c r="I25" s="6"/>
      <c r="J25" s="10">
        <v>4900</v>
      </c>
      <c r="K25" s="57"/>
      <c r="L25" s="59">
        <v>2800</v>
      </c>
      <c r="M25" s="33"/>
      <c r="N25" s="16">
        <v>7700</v>
      </c>
      <c r="O25" s="12">
        <f t="shared" si="0"/>
        <v>385</v>
      </c>
      <c r="P25" s="11">
        <f t="shared" si="1"/>
        <v>5390</v>
      </c>
    </row>
    <row r="26" spans="2:17" ht="26.5" x14ac:dyDescent="0.35">
      <c r="B26" s="5">
        <v>16</v>
      </c>
      <c r="C26" s="1" t="s">
        <v>72</v>
      </c>
      <c r="D26" s="4" t="s">
        <v>71</v>
      </c>
      <c r="E26" s="54">
        <v>46143</v>
      </c>
      <c r="F26" s="31" t="s">
        <v>18</v>
      </c>
      <c r="G26" s="6"/>
      <c r="H26" s="6"/>
      <c r="I26" s="6"/>
      <c r="J26" s="10">
        <v>3100</v>
      </c>
      <c r="K26" s="57"/>
      <c r="L26" s="59">
        <v>1200</v>
      </c>
      <c r="M26" s="33"/>
      <c r="N26" s="16">
        <v>4300</v>
      </c>
      <c r="O26" s="12">
        <f t="shared" si="0"/>
        <v>215</v>
      </c>
      <c r="P26" s="11">
        <f t="shared" si="1"/>
        <v>3010</v>
      </c>
    </row>
    <row r="27" spans="2:17" ht="26.5" x14ac:dyDescent="0.35">
      <c r="B27" s="5">
        <v>17</v>
      </c>
      <c r="C27" s="1" t="s">
        <v>73</v>
      </c>
      <c r="D27" s="4" t="s">
        <v>74</v>
      </c>
      <c r="E27" s="54">
        <v>46143</v>
      </c>
      <c r="F27" s="31" t="s">
        <v>18</v>
      </c>
      <c r="G27" s="6"/>
      <c r="H27" s="6"/>
      <c r="I27" s="6"/>
      <c r="J27" s="10">
        <v>9300</v>
      </c>
      <c r="K27" s="57"/>
      <c r="L27" s="59">
        <v>3200</v>
      </c>
      <c r="M27" s="33"/>
      <c r="N27" s="16">
        <v>12500</v>
      </c>
      <c r="O27" s="12">
        <f t="shared" si="0"/>
        <v>625</v>
      </c>
      <c r="P27" s="11">
        <f t="shared" si="1"/>
        <v>8750</v>
      </c>
    </row>
    <row r="28" spans="2:17" ht="26.5" x14ac:dyDescent="0.35">
      <c r="B28" s="5">
        <v>18</v>
      </c>
      <c r="C28" s="1" t="s">
        <v>75</v>
      </c>
      <c r="D28" s="4" t="s">
        <v>76</v>
      </c>
      <c r="E28" s="54">
        <v>46143</v>
      </c>
      <c r="F28" s="31" t="s">
        <v>18</v>
      </c>
      <c r="G28" s="6"/>
      <c r="H28" s="6"/>
      <c r="I28" s="6"/>
      <c r="J28" s="10">
        <v>3100</v>
      </c>
      <c r="K28" s="57"/>
      <c r="L28" s="59">
        <v>800</v>
      </c>
      <c r="M28" s="33"/>
      <c r="N28" s="16">
        <v>3900</v>
      </c>
      <c r="O28" s="12">
        <f t="shared" si="0"/>
        <v>195</v>
      </c>
      <c r="P28" s="11">
        <f t="shared" si="1"/>
        <v>2730</v>
      </c>
    </row>
    <row r="29" spans="2:17" ht="39.5" x14ac:dyDescent="0.35">
      <c r="B29" s="5">
        <v>19</v>
      </c>
      <c r="C29" s="1" t="s">
        <v>77</v>
      </c>
      <c r="D29" s="4" t="s">
        <v>64</v>
      </c>
      <c r="E29" s="54">
        <v>46143</v>
      </c>
      <c r="F29" s="31" t="s">
        <v>109</v>
      </c>
      <c r="G29" s="6"/>
      <c r="H29" s="16">
        <v>1080</v>
      </c>
      <c r="I29" s="6"/>
      <c r="J29" s="10">
        <v>3100</v>
      </c>
      <c r="K29" s="57"/>
      <c r="L29" s="59">
        <v>800</v>
      </c>
      <c r="M29" s="33"/>
      <c r="N29" s="16">
        <v>4980</v>
      </c>
      <c r="O29" s="12">
        <f t="shared" si="0"/>
        <v>249</v>
      </c>
      <c r="P29" s="11">
        <f t="shared" si="1"/>
        <v>3486</v>
      </c>
    </row>
    <row r="30" spans="2:17" ht="26.5" x14ac:dyDescent="0.35">
      <c r="B30" s="5">
        <v>20</v>
      </c>
      <c r="C30" s="1" t="s">
        <v>78</v>
      </c>
      <c r="D30" s="4" t="s">
        <v>47</v>
      </c>
      <c r="E30" s="54">
        <v>46143</v>
      </c>
      <c r="F30" s="31" t="s">
        <v>16</v>
      </c>
      <c r="G30" s="6"/>
      <c r="H30" s="16">
        <v>2025</v>
      </c>
      <c r="I30" s="6"/>
      <c r="J30" s="10"/>
      <c r="K30" s="57"/>
      <c r="L30" s="59"/>
      <c r="M30" s="33"/>
      <c r="N30" s="16">
        <v>2025</v>
      </c>
      <c r="O30" s="12">
        <f t="shared" si="0"/>
        <v>101.25</v>
      </c>
      <c r="P30" s="11">
        <f t="shared" si="1"/>
        <v>1417.5</v>
      </c>
    </row>
    <row r="31" spans="2:17" ht="26.5" x14ac:dyDescent="0.35">
      <c r="B31" s="5">
        <v>21</v>
      </c>
      <c r="C31" s="1" t="s">
        <v>79</v>
      </c>
      <c r="D31" s="4" t="s">
        <v>80</v>
      </c>
      <c r="E31" s="54">
        <v>46143</v>
      </c>
      <c r="F31" s="31" t="s">
        <v>16</v>
      </c>
      <c r="G31" s="6"/>
      <c r="H31" s="16">
        <v>2025</v>
      </c>
      <c r="I31" s="6"/>
      <c r="J31" s="10"/>
      <c r="K31" s="57"/>
      <c r="L31" s="59"/>
      <c r="M31" s="33"/>
      <c r="N31" s="16">
        <v>2025</v>
      </c>
      <c r="O31" s="12">
        <f t="shared" si="0"/>
        <v>101.25</v>
      </c>
      <c r="P31" s="11">
        <f t="shared" si="1"/>
        <v>1417.5</v>
      </c>
    </row>
    <row r="32" spans="2:17" ht="26.5" x14ac:dyDescent="0.35">
      <c r="B32" s="5">
        <v>22</v>
      </c>
      <c r="C32" s="1" t="s">
        <v>81</v>
      </c>
      <c r="D32" s="4" t="s">
        <v>66</v>
      </c>
      <c r="E32" s="54">
        <v>46143</v>
      </c>
      <c r="F32" s="31" t="s">
        <v>16</v>
      </c>
      <c r="G32" s="6"/>
      <c r="H32" s="16">
        <v>1080</v>
      </c>
      <c r="I32" s="6"/>
      <c r="J32" s="10"/>
      <c r="K32" s="57"/>
      <c r="L32" s="59"/>
      <c r="M32" s="33"/>
      <c r="N32" s="16">
        <v>1080</v>
      </c>
      <c r="O32" s="12">
        <f t="shared" si="0"/>
        <v>54</v>
      </c>
      <c r="P32" s="11">
        <f t="shared" si="1"/>
        <v>756</v>
      </c>
    </row>
    <row r="33" spans="2:16" ht="26.5" x14ac:dyDescent="0.35">
      <c r="B33" s="5">
        <v>23</v>
      </c>
      <c r="C33" s="1" t="s">
        <v>82</v>
      </c>
      <c r="D33" s="4" t="s">
        <v>66</v>
      </c>
      <c r="E33" s="54">
        <v>46143</v>
      </c>
      <c r="F33" s="31" t="s">
        <v>16</v>
      </c>
      <c r="G33" s="6"/>
      <c r="H33" s="16">
        <v>1080</v>
      </c>
      <c r="I33" s="6"/>
      <c r="J33" s="10"/>
      <c r="K33" s="57"/>
      <c r="L33" s="59"/>
      <c r="M33" s="33"/>
      <c r="N33" s="16">
        <v>1080</v>
      </c>
      <c r="O33" s="12">
        <f t="shared" si="0"/>
        <v>54</v>
      </c>
      <c r="P33" s="11">
        <f t="shared" si="1"/>
        <v>756</v>
      </c>
    </row>
    <row r="34" spans="2:16" ht="26.5" x14ac:dyDescent="0.35">
      <c r="B34" s="5">
        <v>24</v>
      </c>
      <c r="C34" s="1" t="s">
        <v>83</v>
      </c>
      <c r="D34" s="4" t="s">
        <v>76</v>
      </c>
      <c r="E34" s="54">
        <v>46143</v>
      </c>
      <c r="F34" s="31" t="s">
        <v>16</v>
      </c>
      <c r="G34" s="6"/>
      <c r="H34" s="16">
        <v>1080</v>
      </c>
      <c r="I34" s="6"/>
      <c r="J34" s="10"/>
      <c r="K34" s="57"/>
      <c r="L34" s="59"/>
      <c r="M34" s="33"/>
      <c r="N34" s="16">
        <v>1080</v>
      </c>
      <c r="O34" s="12">
        <f t="shared" si="0"/>
        <v>54</v>
      </c>
      <c r="P34" s="11">
        <f t="shared" si="1"/>
        <v>756</v>
      </c>
    </row>
    <row r="35" spans="2:16" ht="39.5" x14ac:dyDescent="0.35">
      <c r="B35" s="5">
        <v>25</v>
      </c>
      <c r="C35" s="1" t="s">
        <v>84</v>
      </c>
      <c r="D35" s="60" t="s">
        <v>85</v>
      </c>
      <c r="E35" s="54">
        <v>46143</v>
      </c>
      <c r="F35" s="31" t="s">
        <v>86</v>
      </c>
      <c r="G35" s="11">
        <v>2025</v>
      </c>
      <c r="H35" s="16">
        <v>4050</v>
      </c>
      <c r="I35" s="6"/>
      <c r="J35" s="10"/>
      <c r="K35" s="57"/>
      <c r="L35" s="59"/>
      <c r="M35" s="33"/>
      <c r="N35" s="16">
        <v>6075</v>
      </c>
      <c r="O35" s="12">
        <f t="shared" si="0"/>
        <v>303.75</v>
      </c>
      <c r="P35" s="11">
        <f t="shared" si="1"/>
        <v>4252.5</v>
      </c>
    </row>
    <row r="36" spans="2:16" ht="26.5" x14ac:dyDescent="0.35">
      <c r="B36" s="5">
        <v>26</v>
      </c>
      <c r="C36" s="1" t="s">
        <v>87</v>
      </c>
      <c r="D36" s="4" t="s">
        <v>76</v>
      </c>
      <c r="E36" s="54">
        <v>46143</v>
      </c>
      <c r="F36" s="31" t="s">
        <v>16</v>
      </c>
      <c r="G36" s="6"/>
      <c r="H36" s="16">
        <v>1080</v>
      </c>
      <c r="I36" s="6"/>
      <c r="J36" s="10"/>
      <c r="K36" s="57"/>
      <c r="L36" s="59"/>
      <c r="M36" s="33"/>
      <c r="N36" s="16">
        <v>1080</v>
      </c>
      <c r="O36" s="12">
        <f t="shared" si="0"/>
        <v>54</v>
      </c>
      <c r="P36" s="11">
        <f t="shared" si="1"/>
        <v>756</v>
      </c>
    </row>
    <row r="37" spans="2:16" ht="26.5" x14ac:dyDescent="0.35">
      <c r="B37" s="5">
        <v>27</v>
      </c>
      <c r="C37" s="1" t="s">
        <v>88</v>
      </c>
      <c r="D37" s="4" t="s">
        <v>66</v>
      </c>
      <c r="E37" s="54">
        <v>46143</v>
      </c>
      <c r="F37" s="31" t="s">
        <v>16</v>
      </c>
      <c r="G37" s="6"/>
      <c r="H37" s="16">
        <v>1080</v>
      </c>
      <c r="I37" s="6"/>
      <c r="J37" s="10"/>
      <c r="K37" s="57"/>
      <c r="L37" s="59"/>
      <c r="M37" s="33"/>
      <c r="N37" s="16">
        <v>1080</v>
      </c>
      <c r="O37" s="12">
        <f t="shared" si="0"/>
        <v>54</v>
      </c>
      <c r="P37" s="11">
        <f t="shared" si="1"/>
        <v>756</v>
      </c>
    </row>
    <row r="38" spans="2:16" ht="26.5" x14ac:dyDescent="0.35">
      <c r="B38" s="5">
        <v>28</v>
      </c>
      <c r="C38" s="1" t="s">
        <v>89</v>
      </c>
      <c r="D38" s="4" t="s">
        <v>66</v>
      </c>
      <c r="E38" s="54">
        <v>46143</v>
      </c>
      <c r="F38" s="31" t="s">
        <v>16</v>
      </c>
      <c r="G38" s="6"/>
      <c r="H38" s="16">
        <v>1080</v>
      </c>
      <c r="I38" s="6"/>
      <c r="J38" s="10"/>
      <c r="K38" s="57"/>
      <c r="L38" s="59"/>
      <c r="M38" s="33"/>
      <c r="N38" s="16">
        <v>1080</v>
      </c>
      <c r="O38" s="12">
        <f t="shared" si="0"/>
        <v>54</v>
      </c>
      <c r="P38" s="11">
        <f t="shared" si="1"/>
        <v>756</v>
      </c>
    </row>
    <row r="39" spans="2:16" ht="26.5" x14ac:dyDescent="0.35">
      <c r="B39" s="5">
        <v>29</v>
      </c>
      <c r="C39" s="1" t="s">
        <v>90</v>
      </c>
      <c r="D39" s="4" t="s">
        <v>47</v>
      </c>
      <c r="E39" s="54">
        <v>46143</v>
      </c>
      <c r="F39" s="31" t="s">
        <v>16</v>
      </c>
      <c r="G39" s="6"/>
      <c r="H39" s="16">
        <v>1080</v>
      </c>
      <c r="I39" s="6"/>
      <c r="J39" s="10"/>
      <c r="K39" s="57"/>
      <c r="L39" s="59"/>
      <c r="M39" s="33"/>
      <c r="N39" s="16">
        <v>1080</v>
      </c>
      <c r="O39" s="12">
        <f t="shared" si="0"/>
        <v>54</v>
      </c>
      <c r="P39" s="11">
        <f t="shared" si="1"/>
        <v>756</v>
      </c>
    </row>
    <row r="40" spans="2:16" ht="26.5" x14ac:dyDescent="0.35">
      <c r="B40" s="5">
        <v>30</v>
      </c>
      <c r="C40" s="1" t="s">
        <v>91</v>
      </c>
      <c r="D40" s="4" t="s">
        <v>92</v>
      </c>
      <c r="E40" s="54">
        <v>46143</v>
      </c>
      <c r="F40" s="31" t="s">
        <v>16</v>
      </c>
      <c r="G40" s="6"/>
      <c r="H40" s="16">
        <v>21105</v>
      </c>
      <c r="I40" s="6"/>
      <c r="J40" s="10"/>
      <c r="K40" s="57"/>
      <c r="L40" s="59"/>
      <c r="M40" s="33"/>
      <c r="N40" s="16">
        <v>21105</v>
      </c>
      <c r="O40" s="12">
        <f t="shared" si="0"/>
        <v>1055.25</v>
      </c>
      <c r="P40" s="11">
        <f t="shared" si="1"/>
        <v>14773.499999999998</v>
      </c>
    </row>
    <row r="41" spans="2:16" ht="26.5" x14ac:dyDescent="0.35">
      <c r="B41" s="5">
        <v>31</v>
      </c>
      <c r="C41" s="1" t="s">
        <v>93</v>
      </c>
      <c r="D41" s="4" t="s">
        <v>47</v>
      </c>
      <c r="E41" s="54">
        <v>46143</v>
      </c>
      <c r="F41" s="31" t="s">
        <v>16</v>
      </c>
      <c r="G41" s="6"/>
      <c r="H41" s="16">
        <v>2025</v>
      </c>
      <c r="I41" s="6"/>
      <c r="J41" s="10"/>
      <c r="K41" s="57"/>
      <c r="L41" s="59"/>
      <c r="M41" s="33"/>
      <c r="N41" s="16">
        <v>2025</v>
      </c>
      <c r="O41" s="12">
        <f t="shared" si="0"/>
        <v>101.25</v>
      </c>
      <c r="P41" s="11">
        <f t="shared" si="1"/>
        <v>1417.5</v>
      </c>
    </row>
    <row r="42" spans="2:16" ht="26.5" x14ac:dyDescent="0.35">
      <c r="B42" s="5">
        <v>32</v>
      </c>
      <c r="C42" s="1" t="s">
        <v>94</v>
      </c>
      <c r="D42" s="4" t="s">
        <v>76</v>
      </c>
      <c r="E42" s="54">
        <v>46143</v>
      </c>
      <c r="F42" s="31" t="s">
        <v>16</v>
      </c>
      <c r="G42" s="6"/>
      <c r="H42" s="16">
        <v>1080</v>
      </c>
      <c r="I42" s="6"/>
      <c r="J42" s="10"/>
      <c r="K42" s="57"/>
      <c r="L42" s="59"/>
      <c r="M42" s="33"/>
      <c r="N42" s="16">
        <v>1080</v>
      </c>
      <c r="O42" s="12">
        <f t="shared" si="0"/>
        <v>54</v>
      </c>
      <c r="P42" s="11">
        <f t="shared" si="1"/>
        <v>756</v>
      </c>
    </row>
    <row r="43" spans="2:16" ht="26.5" x14ac:dyDescent="0.35">
      <c r="B43" s="5">
        <v>33</v>
      </c>
      <c r="C43" s="1" t="s">
        <v>95</v>
      </c>
      <c r="D43" s="4" t="s">
        <v>64</v>
      </c>
      <c r="E43" s="54">
        <v>46143</v>
      </c>
      <c r="F43" s="31" t="s">
        <v>16</v>
      </c>
      <c r="G43" s="6"/>
      <c r="H43" s="16">
        <v>2025</v>
      </c>
      <c r="I43" s="6"/>
      <c r="J43" s="10"/>
      <c r="K43" s="57"/>
      <c r="L43" s="59"/>
      <c r="M43" s="33"/>
      <c r="N43" s="16">
        <v>2025</v>
      </c>
      <c r="O43" s="12">
        <f t="shared" si="0"/>
        <v>101.25</v>
      </c>
      <c r="P43" s="11">
        <f t="shared" si="1"/>
        <v>1417.5</v>
      </c>
    </row>
    <row r="44" spans="2:16" ht="26.5" x14ac:dyDescent="0.35">
      <c r="B44" s="5">
        <v>34</v>
      </c>
      <c r="C44" s="1" t="s">
        <v>96</v>
      </c>
      <c r="D44" s="4" t="s">
        <v>97</v>
      </c>
      <c r="E44" s="54">
        <v>46143</v>
      </c>
      <c r="F44" s="31" t="s">
        <v>16</v>
      </c>
      <c r="G44" s="6"/>
      <c r="H44" s="16">
        <v>5985</v>
      </c>
      <c r="I44" s="6"/>
      <c r="J44" s="10"/>
      <c r="K44" s="57"/>
      <c r="L44" s="59"/>
      <c r="M44" s="33"/>
      <c r="N44" s="16">
        <v>5985</v>
      </c>
      <c r="O44" s="12">
        <f t="shared" si="0"/>
        <v>299.25</v>
      </c>
      <c r="P44" s="11">
        <f t="shared" si="1"/>
        <v>4189.5</v>
      </c>
    </row>
    <row r="45" spans="2:16" ht="26.5" x14ac:dyDescent="0.35">
      <c r="B45" s="5">
        <v>35</v>
      </c>
      <c r="C45" s="1" t="s">
        <v>98</v>
      </c>
      <c r="D45" s="4" t="s">
        <v>47</v>
      </c>
      <c r="E45" s="54">
        <v>46143</v>
      </c>
      <c r="F45" s="31" t="s">
        <v>16</v>
      </c>
      <c r="G45" s="6"/>
      <c r="H45" s="16">
        <v>1080</v>
      </c>
      <c r="I45" s="6"/>
      <c r="J45" s="10"/>
      <c r="K45" s="57"/>
      <c r="L45" s="59"/>
      <c r="M45" s="33"/>
      <c r="N45" s="16">
        <v>1080</v>
      </c>
      <c r="O45" s="12">
        <f t="shared" si="0"/>
        <v>54</v>
      </c>
      <c r="P45" s="11">
        <f t="shared" si="1"/>
        <v>756</v>
      </c>
    </row>
    <row r="46" spans="2:16" ht="26.5" x14ac:dyDescent="0.35">
      <c r="B46" s="5">
        <v>36</v>
      </c>
      <c r="C46" s="1" t="s">
        <v>99</v>
      </c>
      <c r="D46" s="4" t="s">
        <v>66</v>
      </c>
      <c r="E46" s="54">
        <v>46143</v>
      </c>
      <c r="F46" s="31" t="s">
        <v>16</v>
      </c>
      <c r="G46" s="6"/>
      <c r="H46" s="16">
        <v>2025</v>
      </c>
      <c r="I46" s="6"/>
      <c r="J46" s="10"/>
      <c r="K46" s="57"/>
      <c r="L46" s="59"/>
      <c r="M46" s="33"/>
      <c r="N46" s="16">
        <v>2025</v>
      </c>
      <c r="O46" s="12">
        <f t="shared" si="0"/>
        <v>101.25</v>
      </c>
      <c r="P46" s="11">
        <f t="shared" si="1"/>
        <v>1417.5</v>
      </c>
    </row>
    <row r="47" spans="2:16" ht="26.5" x14ac:dyDescent="0.35">
      <c r="B47" s="5">
        <v>37</v>
      </c>
      <c r="C47" s="2" t="s">
        <v>100</v>
      </c>
      <c r="D47" s="4" t="s">
        <v>66</v>
      </c>
      <c r="E47" s="54">
        <v>46143</v>
      </c>
      <c r="F47" s="31" t="s">
        <v>16</v>
      </c>
      <c r="G47" s="6"/>
      <c r="H47" s="16">
        <v>1080</v>
      </c>
      <c r="I47" s="6"/>
      <c r="J47" s="10"/>
      <c r="K47" s="57"/>
      <c r="L47" s="59"/>
      <c r="M47" s="33"/>
      <c r="N47" s="16">
        <v>1080</v>
      </c>
      <c r="O47" s="12">
        <f t="shared" si="0"/>
        <v>54</v>
      </c>
      <c r="P47" s="11">
        <f t="shared" si="1"/>
        <v>756</v>
      </c>
    </row>
    <row r="48" spans="2:16" ht="26.5" x14ac:dyDescent="0.35">
      <c r="B48" s="5">
        <v>38</v>
      </c>
      <c r="C48" s="3" t="s">
        <v>101</v>
      </c>
      <c r="D48" s="4" t="s">
        <v>66</v>
      </c>
      <c r="E48" s="54">
        <v>46143</v>
      </c>
      <c r="F48" s="31" t="s">
        <v>16</v>
      </c>
      <c r="G48" s="6"/>
      <c r="H48" s="16">
        <v>2025</v>
      </c>
      <c r="I48" s="6"/>
      <c r="J48" s="10"/>
      <c r="K48" s="57"/>
      <c r="L48" s="59"/>
      <c r="M48" s="33"/>
      <c r="N48" s="16">
        <v>2025</v>
      </c>
      <c r="O48" s="12">
        <f t="shared" si="0"/>
        <v>101.25</v>
      </c>
      <c r="P48" s="11">
        <f t="shared" si="1"/>
        <v>1417.5</v>
      </c>
    </row>
    <row r="49" spans="2:16" ht="26.5" x14ac:dyDescent="0.35">
      <c r="B49" s="5">
        <v>39</v>
      </c>
      <c r="C49" s="2" t="s">
        <v>102</v>
      </c>
      <c r="D49" s="4" t="s">
        <v>66</v>
      </c>
      <c r="E49" s="54">
        <v>46143</v>
      </c>
      <c r="F49" s="31" t="s">
        <v>16</v>
      </c>
      <c r="G49" s="6"/>
      <c r="H49" s="16">
        <v>1080</v>
      </c>
      <c r="I49" s="6"/>
      <c r="J49" s="10"/>
      <c r="K49" s="57"/>
      <c r="L49" s="59"/>
      <c r="M49" s="33"/>
      <c r="N49" s="16">
        <v>1080</v>
      </c>
      <c r="O49" s="12">
        <f t="shared" si="0"/>
        <v>54</v>
      </c>
      <c r="P49" s="11">
        <f t="shared" si="1"/>
        <v>756</v>
      </c>
    </row>
    <row r="50" spans="2:16" ht="26.5" x14ac:dyDescent="0.35">
      <c r="B50" s="5">
        <v>40</v>
      </c>
      <c r="C50" s="8" t="s">
        <v>103</v>
      </c>
      <c r="D50" s="4" t="s">
        <v>46</v>
      </c>
      <c r="E50" s="54">
        <v>46143</v>
      </c>
      <c r="F50" s="31" t="s">
        <v>16</v>
      </c>
      <c r="G50" s="6"/>
      <c r="H50" s="16">
        <v>1080</v>
      </c>
      <c r="I50" s="6"/>
      <c r="J50" s="10"/>
      <c r="K50" s="57"/>
      <c r="L50" s="59"/>
      <c r="M50" s="33"/>
      <c r="N50" s="16">
        <v>1080</v>
      </c>
      <c r="O50" s="12">
        <f t="shared" si="0"/>
        <v>54</v>
      </c>
      <c r="P50" s="11">
        <f t="shared" si="1"/>
        <v>756</v>
      </c>
    </row>
    <row r="51" spans="2:16" ht="26.5" x14ac:dyDescent="0.35">
      <c r="B51" s="5">
        <v>41</v>
      </c>
      <c r="C51" s="1" t="s">
        <v>104</v>
      </c>
      <c r="D51" s="4" t="s">
        <v>66</v>
      </c>
      <c r="E51" s="54">
        <v>46143</v>
      </c>
      <c r="F51" s="31" t="s">
        <v>16</v>
      </c>
      <c r="G51" s="6"/>
      <c r="H51" s="16">
        <v>1080</v>
      </c>
      <c r="I51" s="6"/>
      <c r="J51" s="10"/>
      <c r="K51" s="57"/>
      <c r="L51" s="59"/>
      <c r="M51" s="33"/>
      <c r="N51" s="16">
        <v>1080</v>
      </c>
      <c r="O51" s="12">
        <f t="shared" si="0"/>
        <v>54</v>
      </c>
      <c r="P51" s="11">
        <f t="shared" si="1"/>
        <v>756</v>
      </c>
    </row>
    <row r="52" spans="2:16" ht="39.5" x14ac:dyDescent="0.35">
      <c r="B52" s="5">
        <v>42</v>
      </c>
      <c r="C52" s="1" t="s">
        <v>105</v>
      </c>
      <c r="D52" s="4" t="s">
        <v>66</v>
      </c>
      <c r="E52" s="54">
        <v>46143</v>
      </c>
      <c r="F52" s="31" t="s">
        <v>86</v>
      </c>
      <c r="G52" s="11">
        <v>1080</v>
      </c>
      <c r="H52" s="16">
        <v>1080</v>
      </c>
      <c r="I52" s="6"/>
      <c r="J52" s="10"/>
      <c r="K52" s="57"/>
      <c r="L52" s="59"/>
      <c r="M52" s="33"/>
      <c r="N52" s="16">
        <v>2160</v>
      </c>
      <c r="O52" s="12">
        <f t="shared" si="0"/>
        <v>108</v>
      </c>
      <c r="P52" s="11">
        <f t="shared" si="1"/>
        <v>1512</v>
      </c>
    </row>
    <row r="53" spans="2:16" ht="26.5" x14ac:dyDescent="0.35">
      <c r="B53" s="5">
        <v>43</v>
      </c>
      <c r="C53" s="61" t="s">
        <v>106</v>
      </c>
      <c r="D53" s="62" t="s">
        <v>47</v>
      </c>
      <c r="E53" s="63">
        <v>46143</v>
      </c>
      <c r="F53" s="64" t="s">
        <v>16</v>
      </c>
      <c r="G53" s="65"/>
      <c r="H53" s="70"/>
      <c r="I53" s="65"/>
      <c r="J53" s="66"/>
      <c r="K53" s="67"/>
      <c r="L53" s="68"/>
      <c r="M53" s="69"/>
      <c r="N53" s="70"/>
      <c r="O53" s="71">
        <f t="shared" si="0"/>
        <v>0</v>
      </c>
      <c r="P53" s="72">
        <f t="shared" si="1"/>
        <v>0</v>
      </c>
    </row>
    <row r="54" spans="2:16" ht="26.5" x14ac:dyDescent="0.35">
      <c r="B54" s="5">
        <v>44</v>
      </c>
      <c r="C54" s="1" t="s">
        <v>107</v>
      </c>
      <c r="D54" s="4" t="s">
        <v>66</v>
      </c>
      <c r="E54" s="54">
        <v>46143</v>
      </c>
      <c r="F54" s="31" t="s">
        <v>16</v>
      </c>
      <c r="G54" s="6"/>
      <c r="H54" s="16">
        <v>1080</v>
      </c>
      <c r="I54" s="6"/>
      <c r="J54" s="10"/>
      <c r="K54" s="57"/>
      <c r="L54" s="59"/>
      <c r="M54" s="33"/>
      <c r="N54" s="16">
        <v>1080</v>
      </c>
      <c r="O54" s="12">
        <f t="shared" si="0"/>
        <v>54</v>
      </c>
      <c r="P54" s="11">
        <f t="shared" si="1"/>
        <v>756</v>
      </c>
    </row>
    <row r="55" spans="2:16" ht="26.5" x14ac:dyDescent="0.35">
      <c r="B55" s="5">
        <v>45</v>
      </c>
      <c r="C55" s="1" t="s">
        <v>110</v>
      </c>
      <c r="D55" s="4" t="s">
        <v>47</v>
      </c>
      <c r="E55" s="54">
        <v>46143</v>
      </c>
      <c r="F55" s="31" t="s">
        <v>16</v>
      </c>
      <c r="G55" s="6"/>
      <c r="H55" s="16">
        <v>1080</v>
      </c>
      <c r="I55" s="6"/>
      <c r="J55" s="10"/>
      <c r="K55" s="57"/>
      <c r="L55" s="59"/>
      <c r="M55" s="33"/>
      <c r="N55" s="16">
        <v>1080</v>
      </c>
      <c r="O55" s="12">
        <f t="shared" si="0"/>
        <v>54</v>
      </c>
      <c r="P55" s="11">
        <f t="shared" si="1"/>
        <v>756</v>
      </c>
    </row>
    <row r="56" spans="2:16" ht="26.5" x14ac:dyDescent="0.35">
      <c r="B56" s="5">
        <v>46</v>
      </c>
      <c r="C56" s="1" t="s">
        <v>108</v>
      </c>
      <c r="D56" s="4" t="s">
        <v>64</v>
      </c>
      <c r="E56" s="54">
        <v>46143</v>
      </c>
      <c r="F56" s="31" t="s">
        <v>16</v>
      </c>
      <c r="G56" s="6"/>
      <c r="H56" s="16">
        <v>1080</v>
      </c>
      <c r="I56" s="6"/>
      <c r="J56" s="9"/>
      <c r="K56" s="57"/>
      <c r="L56" s="59"/>
      <c r="M56" s="33"/>
      <c r="N56" s="16">
        <v>1080</v>
      </c>
      <c r="O56" s="12">
        <f t="shared" si="0"/>
        <v>54</v>
      </c>
      <c r="P56" s="11">
        <f t="shared" si="1"/>
        <v>756</v>
      </c>
    </row>
    <row r="57" spans="2:16" ht="26.5" x14ac:dyDescent="0.35">
      <c r="B57" s="5">
        <v>47</v>
      </c>
      <c r="C57" s="1" t="s">
        <v>111</v>
      </c>
      <c r="D57" s="4" t="s">
        <v>47</v>
      </c>
      <c r="E57" s="54">
        <v>46143</v>
      </c>
      <c r="F57" s="31" t="s">
        <v>16</v>
      </c>
      <c r="G57" s="6"/>
      <c r="H57" s="16">
        <v>1080</v>
      </c>
      <c r="I57" s="6"/>
      <c r="J57" s="10"/>
      <c r="K57" s="57"/>
      <c r="L57" s="59"/>
      <c r="M57" s="33"/>
      <c r="N57" s="16">
        <v>1080</v>
      </c>
      <c r="O57" s="12">
        <f t="shared" si="0"/>
        <v>54</v>
      </c>
      <c r="P57" s="11">
        <f t="shared" si="1"/>
        <v>756</v>
      </c>
    </row>
    <row r="58" spans="2:16" ht="26.5" x14ac:dyDescent="0.35">
      <c r="B58" s="5">
        <v>48</v>
      </c>
      <c r="C58" s="1" t="s">
        <v>112</v>
      </c>
      <c r="D58" s="4" t="s">
        <v>47</v>
      </c>
      <c r="E58" s="54">
        <v>46143</v>
      </c>
      <c r="F58" s="31" t="s">
        <v>16</v>
      </c>
      <c r="G58" s="6"/>
      <c r="H58" s="16">
        <v>2025</v>
      </c>
      <c r="I58" s="6"/>
      <c r="J58" s="9"/>
      <c r="K58" s="57"/>
      <c r="L58" s="59"/>
      <c r="M58" s="33"/>
      <c r="N58" s="16">
        <v>2025</v>
      </c>
      <c r="O58" s="12">
        <f t="shared" si="0"/>
        <v>101.25</v>
      </c>
      <c r="P58" s="11">
        <f t="shared" si="1"/>
        <v>1417.5</v>
      </c>
    </row>
    <row r="59" spans="2:16" ht="1" customHeight="1" x14ac:dyDescent="0.35">
      <c r="B59" s="5">
        <v>49</v>
      </c>
      <c r="C59" s="1"/>
      <c r="D59" s="4"/>
      <c r="E59" s="5"/>
      <c r="F59" s="15"/>
      <c r="G59" s="6"/>
      <c r="H59" s="6"/>
      <c r="I59" s="6"/>
      <c r="J59" s="9"/>
      <c r="K59" s="57"/>
      <c r="L59" s="59"/>
      <c r="M59" s="33"/>
      <c r="N59" s="16">
        <f t="shared" ref="N59:N60" si="2">SUM(G59:K59)</f>
        <v>0</v>
      </c>
      <c r="O59" s="12">
        <f t="shared" si="0"/>
        <v>0</v>
      </c>
      <c r="P59" s="11">
        <f t="shared" si="1"/>
        <v>0</v>
      </c>
    </row>
    <row r="60" spans="2:16" hidden="1" x14ac:dyDescent="0.35">
      <c r="B60" s="5">
        <v>50</v>
      </c>
      <c r="C60" s="1"/>
      <c r="D60" s="4"/>
      <c r="E60" s="5"/>
      <c r="F60" s="15"/>
      <c r="G60" s="6"/>
      <c r="H60" s="6"/>
      <c r="I60" s="6"/>
      <c r="J60" s="9"/>
      <c r="K60" s="57"/>
      <c r="L60" s="59"/>
      <c r="M60" s="33"/>
      <c r="N60" s="16">
        <f t="shared" si="2"/>
        <v>0</v>
      </c>
      <c r="O60" s="12">
        <f t="shared" si="0"/>
        <v>0</v>
      </c>
      <c r="P60" s="11">
        <f t="shared" si="1"/>
        <v>0</v>
      </c>
    </row>
    <row r="61" spans="2:16" ht="15" thickBot="1" x14ac:dyDescent="0.4">
      <c r="B61" s="17"/>
      <c r="C61" s="18" t="s">
        <v>12</v>
      </c>
      <c r="D61" s="17"/>
      <c r="E61" s="17"/>
      <c r="F61" s="19"/>
      <c r="G61" s="58">
        <f>SUM(G11:G60)</f>
        <v>4185</v>
      </c>
      <c r="H61" s="58">
        <f>SUM(H11:H60)</f>
        <v>87345</v>
      </c>
      <c r="I61" s="58">
        <f>SUM(I11:I60)</f>
        <v>218997.43</v>
      </c>
      <c r="J61" s="20">
        <f>SUM(J11:J60)</f>
        <v>129700</v>
      </c>
      <c r="K61" s="58">
        <f>SUM(K11:K60)</f>
        <v>0</v>
      </c>
      <c r="L61" s="58">
        <f>SUM(L11:L60)</f>
        <v>18000</v>
      </c>
      <c r="M61" s="34"/>
      <c r="N61" s="16">
        <v>458227.43</v>
      </c>
      <c r="O61" s="13">
        <f>SUM(O11:O60)</f>
        <v>22911.371500000001</v>
      </c>
      <c r="P61" s="21">
        <f>N61*70%</f>
        <v>320759.201</v>
      </c>
    </row>
    <row r="62" spans="2:16" x14ac:dyDescent="0.35">
      <c r="B62" s="22"/>
      <c r="C62" s="22"/>
      <c r="D62" s="22"/>
      <c r="E62" s="22"/>
      <c r="F62" s="22"/>
      <c r="G62" s="22"/>
      <c r="H62" s="22"/>
      <c r="I62" s="22"/>
      <c r="J62" s="23"/>
      <c r="K62" s="22"/>
      <c r="L62" s="22"/>
      <c r="M62" s="22"/>
      <c r="N62" s="24"/>
      <c r="O62" s="25"/>
      <c r="P62" s="26"/>
    </row>
    <row r="63" spans="2:16" x14ac:dyDescent="0.35">
      <c r="B63" s="7"/>
      <c r="C63" t="s">
        <v>8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</row>
    <row r="64" spans="2:16" x14ac:dyDescent="0.35"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</row>
    <row r="66" spans="2:3" x14ac:dyDescent="0.35">
      <c r="B66" s="115" t="s">
        <v>121</v>
      </c>
      <c r="C66" s="113" t="s">
        <v>127</v>
      </c>
    </row>
  </sheetData>
  <mergeCells count="9">
    <mergeCell ref="B8:F9"/>
    <mergeCell ref="G8:K8"/>
    <mergeCell ref="M8:P9"/>
    <mergeCell ref="G9:J9"/>
    <mergeCell ref="B4:C4"/>
    <mergeCell ref="D4:F4"/>
    <mergeCell ref="B5:C5"/>
    <mergeCell ref="D5:F5"/>
    <mergeCell ref="B7:P7"/>
  </mergeCells>
  <pageMargins left="0.7" right="0.7" top="0.75" bottom="0.75" header="0.3" footer="0.3"/>
  <pageSetup paperSize="9" orientation="portrait" verticalDpi="0" r:id="rId1"/>
  <ignoredErrors>
    <ignoredError sqref="P11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Quarterly Report Format - 2026</vt:lpstr>
      <vt:lpstr>Monthly Report Format - Feb</vt:lpstr>
      <vt:lpstr>Monthly Report Format - March</vt:lpstr>
      <vt:lpstr>Monthly Report Format - April</vt:lpstr>
      <vt:lpstr>Monthly Report Format - 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Nouman Mughal</dc:creator>
  <cp:lastModifiedBy>Shariq Ahmed</cp:lastModifiedBy>
  <cp:lastPrinted>2026-07-07T06:14:03Z</cp:lastPrinted>
  <dcterms:created xsi:type="dcterms:W3CDTF">2021-01-26T09:14:41Z</dcterms:created>
  <dcterms:modified xsi:type="dcterms:W3CDTF">2026-07-10T13:47:37Z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06abaf-cfcb-4629-bbac-8c98a9f28731_Enabled">
    <vt:lpwstr>true</vt:lpwstr>
  </property>
  <property fmtid="{D5CDD505-2E9C-101B-9397-08002B2CF9AE}" pid="3" name="MSIP_Label_f306abaf-cfcb-4629-bbac-8c98a9f28731_SetDate">
    <vt:lpwstr>2025-06-03T06:14:48Z</vt:lpwstr>
  </property>
  <property fmtid="{D5CDD505-2E9C-101B-9397-08002B2CF9AE}" pid="4" name="MSIP_Label_f306abaf-cfcb-4629-bbac-8c98a9f28731_Method">
    <vt:lpwstr>Privileged</vt:lpwstr>
  </property>
  <property fmtid="{D5CDD505-2E9C-101B-9397-08002B2CF9AE}" pid="5" name="MSIP_Label_f306abaf-cfcb-4629-bbac-8c98a9f28731_Name">
    <vt:lpwstr>Confidential</vt:lpwstr>
  </property>
  <property fmtid="{D5CDD505-2E9C-101B-9397-08002B2CF9AE}" pid="6" name="MSIP_Label_f306abaf-cfcb-4629-bbac-8c98a9f28731_SiteId">
    <vt:lpwstr>fc9737d7-0675-4ccd-af24-b45790ae0f11</vt:lpwstr>
  </property>
  <property fmtid="{D5CDD505-2E9C-101B-9397-08002B2CF9AE}" pid="7" name="MSIP_Label_f306abaf-cfcb-4629-bbac-8c98a9f28731_ActionId">
    <vt:lpwstr>1c85c94f-cac0-4b52-9535-bf2635aa32a4</vt:lpwstr>
  </property>
  <property fmtid="{D5CDD505-2E9C-101B-9397-08002B2CF9AE}" pid="8" name="MSIP_Label_f306abaf-cfcb-4629-bbac-8c98a9f28731_ContentBits">
    <vt:lpwstr>2</vt:lpwstr>
  </property>
</Properties>
</file>