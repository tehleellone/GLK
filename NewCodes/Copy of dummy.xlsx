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ieebvqq\Documents\Document\documentsssss\"/>
    </mc:Choice>
  </mc:AlternateContent>
  <xr:revisionPtr revIDLastSave="0" documentId="8_{AEF79413-314A-4601-99B0-A9E0BBCE1449}" xr6:coauthVersionLast="47" xr6:coauthVersionMax="47" xr10:uidLastSave="{00000000-0000-0000-0000-000000000000}"/>
  <bookViews>
    <workbookView xWindow="-108" yWindow="-108" windowWidth="23256" windowHeight="12456" firstSheet="1" activeTab="1" xr2:uid="{F8947C57-883B-4FB9-B4E2-A4C54C576FDD}"/>
  </bookViews>
  <sheets>
    <sheet name="KEY-B" sheetId="3" state="hidden" r:id="rId1"/>
    <sheet name="Rev Rec 2026 vs 2025 Trend" sheetId="8" r:id="rId2"/>
    <sheet name="GLK Net Add Lines Trend" sheetId="9" r:id="rId3"/>
    <sheet name="GLK Fixed Net MRC Trend" sheetId="10" r:id="rId4"/>
  </sheets>
  <externalReferences>
    <externalReference r:id="rId5"/>
    <externalReference r:id="rId6"/>
  </externalReferences>
  <definedNames>
    <definedName name="Cal_Endtime">0.999305555555556</definedName>
    <definedName name="CurrentTime">TIME(HOUR(NOW()),MINUTE(NOW()),SECOND(NOW()))</definedName>
    <definedName name="DDOS_Target">[1]!REV[[#Headers],[QTR]]</definedName>
    <definedName name="INS_TAR" localSheetId="0">#REF!</definedName>
    <definedName name="INS_TAR">#REF!</definedName>
    <definedName name="INS_TARR" localSheetId="0">#REF!</definedName>
    <definedName name="INS_TARR">#REF!</definedName>
    <definedName name="tbl_Targets">[1]!tblTargets[[#All],[Month]:[du Tech DDoS]]</definedName>
    <definedName name="ThisWeekday">CHOOSE(WEEKDAY(TODAY()),"Sunday","Monday","Tuesday","Wednesday","Thursday","Friday","Saturday")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0" l="1"/>
  <c r="D11" i="10"/>
  <c r="E11" i="9"/>
  <c r="D11" i="9"/>
  <c r="P130" i="3"/>
  <c r="M130" i="3"/>
  <c r="L130" i="3"/>
  <c r="P129" i="3"/>
  <c r="Q129" i="3" s="1"/>
  <c r="O129" i="3"/>
  <c r="M129" i="3"/>
  <c r="L129" i="3"/>
  <c r="N129" i="3" s="1"/>
  <c r="P128" i="3"/>
  <c r="M128" i="3"/>
  <c r="L128" i="3"/>
  <c r="F128" i="3"/>
  <c r="C128" i="3"/>
  <c r="P127" i="3"/>
  <c r="M127" i="3"/>
  <c r="L127" i="3"/>
  <c r="N127" i="3" s="1"/>
  <c r="P126" i="3"/>
  <c r="M126" i="3"/>
  <c r="L126" i="3"/>
  <c r="N126" i="3" s="1"/>
  <c r="A122" i="3"/>
  <c r="BO59" i="3"/>
  <c r="BO77" i="3" s="1"/>
  <c r="BO94" i="3" s="1"/>
  <c r="BD39" i="3"/>
  <c r="BO34" i="3"/>
  <c r="BO54" i="3" s="1"/>
  <c r="BO72" i="3" s="1"/>
  <c r="BO89" i="3" s="1"/>
  <c r="BO30" i="3"/>
  <c r="BO47" i="3" s="1"/>
  <c r="BO68" i="3" s="1"/>
  <c r="AM30" i="3"/>
  <c r="AG30" i="3"/>
  <c r="AH30" i="3" s="1"/>
  <c r="AM29" i="3"/>
  <c r="AG29" i="3"/>
  <c r="AH29" i="3" s="1"/>
  <c r="AM28" i="3"/>
  <c r="AG28" i="3"/>
  <c r="AH28" i="3" s="1"/>
  <c r="AM27" i="3"/>
  <c r="AG27" i="3"/>
  <c r="AH27" i="3" s="1"/>
  <c r="AM26" i="3"/>
  <c r="BO15" i="3" s="1"/>
  <c r="BO35" i="3" s="1"/>
  <c r="BO55" i="3" s="1"/>
  <c r="BO73" i="3" s="1"/>
  <c r="BO90" i="3" s="1"/>
  <c r="AG26" i="3"/>
  <c r="AH26" i="3" s="1"/>
  <c r="AM25" i="3"/>
  <c r="AG25" i="3"/>
  <c r="AH25" i="3" s="1"/>
  <c r="AT24" i="3"/>
  <c r="AM24" i="3"/>
  <c r="AZ24" i="3" s="1"/>
  <c r="AG24" i="3"/>
  <c r="AH24" i="3" s="1"/>
  <c r="O24" i="3"/>
  <c r="AM23" i="3"/>
  <c r="AG23" i="3"/>
  <c r="AM22" i="3"/>
  <c r="AG22" i="3"/>
  <c r="T22" i="3"/>
  <c r="J22" i="3"/>
  <c r="BG21" i="3"/>
  <c r="AZ21" i="3"/>
  <c r="AZ30" i="3" s="1"/>
  <c r="AQ21" i="3"/>
  <c r="AQ25" i="3" s="1"/>
  <c r="AO21" i="3"/>
  <c r="AO23" i="3" s="1"/>
  <c r="C23" i="3" s="1"/>
  <c r="U21" i="3"/>
  <c r="Z21" i="3" s="1"/>
  <c r="P21" i="3"/>
  <c r="J21" i="3"/>
  <c r="O25" i="3" s="1"/>
  <c r="I21" i="3"/>
  <c r="S21" i="3" s="1"/>
  <c r="H21" i="3"/>
  <c r="BJ21" i="3" s="1"/>
  <c r="G21" i="3"/>
  <c r="AT21" i="3" s="1"/>
  <c r="AT28" i="3" s="1"/>
  <c r="E21" i="3"/>
  <c r="E27" i="3" s="1"/>
  <c r="D21" i="3"/>
  <c r="C21" i="3"/>
  <c r="B21" i="3"/>
  <c r="BO20" i="3"/>
  <c r="BO40" i="3" s="1"/>
  <c r="BO60" i="3" s="1"/>
  <c r="BO78" i="3" s="1"/>
  <c r="BO95" i="3" s="1"/>
  <c r="AM20" i="3"/>
  <c r="AH51" i="3" s="1"/>
  <c r="BO19" i="3"/>
  <c r="BO39" i="3" s="1"/>
  <c r="AM19" i="3"/>
  <c r="BO86" i="3" s="1"/>
  <c r="BO18" i="3"/>
  <c r="BO38" i="3" s="1"/>
  <c r="BO58" i="3" s="1"/>
  <c r="BO76" i="3" s="1"/>
  <c r="BO93" i="3" s="1"/>
  <c r="BO17" i="3"/>
  <c r="BO37" i="3" s="1"/>
  <c r="BO57" i="3" s="1"/>
  <c r="BO75" i="3" s="1"/>
  <c r="BO92" i="3" s="1"/>
  <c r="BO16" i="3"/>
  <c r="BO36" i="3" s="1"/>
  <c r="BO56" i="3" s="1"/>
  <c r="BO74" i="3" s="1"/>
  <c r="BO91" i="3" s="1"/>
  <c r="BO14" i="3"/>
  <c r="BO12" i="3"/>
  <c r="BO32" i="3" s="1"/>
  <c r="BO52" i="3" s="1"/>
  <c r="BO70" i="3" s="1"/>
  <c r="BO87" i="3" s="1"/>
  <c r="BO9" i="3"/>
  <c r="V5" i="3"/>
  <c r="Q5" i="3"/>
  <c r="AP21" i="3" l="1"/>
  <c r="AP23" i="3" s="1"/>
  <c r="BK21" i="3"/>
  <c r="N128" i="3"/>
  <c r="E24" i="3"/>
  <c r="AR21" i="3"/>
  <c r="AU21" i="3"/>
  <c r="AU29" i="3" s="1"/>
  <c r="M21" i="3"/>
  <c r="W21" i="3" s="1"/>
  <c r="W26" i="3" s="1"/>
  <c r="AX21" i="3"/>
  <c r="AX26" i="3" s="1"/>
  <c r="N21" i="3"/>
  <c r="X21" i="3" s="1"/>
  <c r="AY21" i="3"/>
  <c r="AY23" i="3" s="1"/>
  <c r="T27" i="3"/>
  <c r="Y30" i="3"/>
  <c r="J23" i="3"/>
  <c r="R21" i="3"/>
  <c r="R29" i="3" s="1"/>
  <c r="BA21" i="3"/>
  <c r="T23" i="3"/>
  <c r="BC21" i="3"/>
  <c r="AT27" i="3"/>
  <c r="BD21" i="3"/>
  <c r="BD26" i="3" s="1"/>
  <c r="AZ27" i="3"/>
  <c r="AN21" i="3"/>
  <c r="AN25" i="3" s="1"/>
  <c r="BF21" i="3"/>
  <c r="BF28" i="3" s="1"/>
  <c r="K122" i="3"/>
  <c r="O130" i="3"/>
  <c r="Q130" i="3" s="1"/>
  <c r="R28" i="3"/>
  <c r="R30" i="3"/>
  <c r="R26" i="3"/>
  <c r="AQ30" i="3"/>
  <c r="AQ28" i="3"/>
  <c r="AQ27" i="3"/>
  <c r="AQ29" i="3"/>
  <c r="AQ26" i="3"/>
  <c r="AQ24" i="3"/>
  <c r="AQ23" i="3"/>
  <c r="BC30" i="3"/>
  <c r="BC27" i="3"/>
  <c r="BC25" i="3"/>
  <c r="BC26" i="3"/>
  <c r="BC28" i="3"/>
  <c r="BC24" i="3"/>
  <c r="BC23" i="3"/>
  <c r="AU24" i="3"/>
  <c r="R27" i="3"/>
  <c r="AO26" i="3"/>
  <c r="AZ26" i="3"/>
  <c r="BB21" i="3"/>
  <c r="AS21" i="3"/>
  <c r="BH21" i="3"/>
  <c r="BE21" i="3"/>
  <c r="AV21" i="3"/>
  <c r="BG28" i="3"/>
  <c r="BG27" i="3"/>
  <c r="BG26" i="3"/>
  <c r="BG23" i="3"/>
  <c r="BG30" i="3"/>
  <c r="BG29" i="3"/>
  <c r="BG25" i="3"/>
  <c r="W25" i="3"/>
  <c r="BC29" i="3"/>
  <c r="AP27" i="3"/>
  <c r="AP25" i="3"/>
  <c r="AP26" i="3"/>
  <c r="AP28" i="3"/>
  <c r="AT29" i="3"/>
  <c r="AT30" i="3"/>
  <c r="AT26" i="3"/>
  <c r="AT25" i="3"/>
  <c r="BD28" i="3"/>
  <c r="BD30" i="3"/>
  <c r="BD25" i="3"/>
  <c r="R23" i="3"/>
  <c r="AT23" i="3"/>
  <c r="BO13" i="3"/>
  <c r="BO33" i="3" s="1"/>
  <c r="BO53" i="3" s="1"/>
  <c r="BO71" i="3" s="1"/>
  <c r="BO88" i="3" s="1"/>
  <c r="BJ29" i="3"/>
  <c r="BJ24" i="3"/>
  <c r="BJ26" i="3"/>
  <c r="BJ30" i="3"/>
  <c r="BJ27" i="3"/>
  <c r="BJ23" i="3"/>
  <c r="BJ25" i="3"/>
  <c r="AU25" i="3"/>
  <c r="AU28" i="3"/>
  <c r="BF27" i="3"/>
  <c r="BF26" i="3"/>
  <c r="BF23" i="3"/>
  <c r="R24" i="3"/>
  <c r="T30" i="3"/>
  <c r="J30" i="3"/>
  <c r="Y29" i="3"/>
  <c r="O30" i="3"/>
  <c r="T28" i="3"/>
  <c r="T29" i="3"/>
  <c r="T25" i="3"/>
  <c r="J25" i="3"/>
  <c r="Y28" i="3"/>
  <c r="J28" i="3"/>
  <c r="O27" i="3"/>
  <c r="J29" i="3"/>
  <c r="Y27" i="3"/>
  <c r="O26" i="3"/>
  <c r="Y26" i="3"/>
  <c r="Y23" i="3"/>
  <c r="O23" i="3"/>
  <c r="O29" i="3"/>
  <c r="Y24" i="3"/>
  <c r="J24" i="3"/>
  <c r="Y22" i="3"/>
  <c r="O22" i="3"/>
  <c r="T26" i="3"/>
  <c r="J27" i="3"/>
  <c r="T24" i="3"/>
  <c r="O21" i="3"/>
  <c r="Y21" i="3" s="1"/>
  <c r="J26" i="3"/>
  <c r="T21" i="3"/>
  <c r="AX27" i="3"/>
  <c r="BK30" i="3"/>
  <c r="BK29" i="3"/>
  <c r="BK27" i="3"/>
  <c r="BK25" i="3"/>
  <c r="BK26" i="3"/>
  <c r="BG24" i="3"/>
  <c r="Y25" i="3"/>
  <c r="O28" i="3"/>
  <c r="BJ28" i="3"/>
  <c r="L21" i="3"/>
  <c r="V21" i="3" s="1"/>
  <c r="AO28" i="3"/>
  <c r="AO29" i="3"/>
  <c r="AO27" i="3"/>
  <c r="AO30" i="3"/>
  <c r="AO24" i="3"/>
  <c r="AW21" i="3"/>
  <c r="E30" i="3"/>
  <c r="E29" i="3"/>
  <c r="E28" i="3"/>
  <c r="E25" i="3"/>
  <c r="E23" i="3"/>
  <c r="AR29" i="3"/>
  <c r="AR28" i="3"/>
  <c r="AR27" i="3"/>
  <c r="AR26" i="3"/>
  <c r="AR23" i="3"/>
  <c r="AR22" i="3" s="1"/>
  <c r="AZ29" i="3"/>
  <c r="AZ23" i="3"/>
  <c r="BA29" i="3"/>
  <c r="BA23" i="3"/>
  <c r="BA22" i="3" s="1"/>
  <c r="BA30" i="3"/>
  <c r="BA26" i="3"/>
  <c r="BI21" i="3"/>
  <c r="AR24" i="3"/>
  <c r="AO25" i="3"/>
  <c r="AZ25" i="3"/>
  <c r="E26" i="3"/>
  <c r="Q21" i="3"/>
  <c r="E22" i="3"/>
  <c r="BA25" i="3"/>
  <c r="AZ28" i="3"/>
  <c r="N130" i="3"/>
  <c r="AN30" i="3" l="1"/>
  <c r="AP24" i="3"/>
  <c r="AP22" i="3" s="1"/>
  <c r="M26" i="3"/>
  <c r="AX23" i="3"/>
  <c r="AX24" i="3"/>
  <c r="BD27" i="3"/>
  <c r="BF29" i="3"/>
  <c r="AX29" i="3"/>
  <c r="AP29" i="3"/>
  <c r="AP30" i="3"/>
  <c r="AN29" i="3"/>
  <c r="G29" i="3" s="1"/>
  <c r="K29" i="3" s="1"/>
  <c r="BJ22" i="3"/>
  <c r="AN27" i="3"/>
  <c r="AN23" i="3"/>
  <c r="B23" i="3" s="1"/>
  <c r="F23" i="3" s="1"/>
  <c r="BF24" i="3"/>
  <c r="AN28" i="3"/>
  <c r="BD24" i="3"/>
  <c r="BD23" i="3"/>
  <c r="BD22" i="3" s="1"/>
  <c r="AO22" i="3"/>
  <c r="W23" i="3"/>
  <c r="W22" i="3" s="1"/>
  <c r="AU26" i="3"/>
  <c r="AY28" i="3"/>
  <c r="W29" i="3"/>
  <c r="R25" i="3"/>
  <c r="AR30" i="3"/>
  <c r="AR25" i="3"/>
  <c r="H25" i="3" s="1"/>
  <c r="BF25" i="3"/>
  <c r="BF30" i="3"/>
  <c r="AN24" i="3"/>
  <c r="B24" i="3" s="1"/>
  <c r="AN26" i="3"/>
  <c r="B26" i="3" s="1"/>
  <c r="AX30" i="3"/>
  <c r="M30" i="3" s="1"/>
  <c r="AX25" i="3"/>
  <c r="M25" i="3" s="1"/>
  <c r="AX28" i="3"/>
  <c r="AY26" i="3"/>
  <c r="AY25" i="3"/>
  <c r="W27" i="3"/>
  <c r="AY24" i="3"/>
  <c r="AY22" i="3" s="1"/>
  <c r="AY29" i="3"/>
  <c r="W24" i="3"/>
  <c r="AU27" i="3"/>
  <c r="H27" i="3" s="1"/>
  <c r="AY27" i="3"/>
  <c r="W28" i="3"/>
  <c r="BA24" i="3"/>
  <c r="M24" i="3" s="1"/>
  <c r="BA27" i="3"/>
  <c r="M27" i="3" s="1"/>
  <c r="BA28" i="3"/>
  <c r="M28" i="3" s="1"/>
  <c r="AU30" i="3"/>
  <c r="AY30" i="3"/>
  <c r="W30" i="3"/>
  <c r="BK24" i="3"/>
  <c r="BK28" i="3"/>
  <c r="BK23" i="3"/>
  <c r="AU23" i="3"/>
  <c r="AU22" i="3" s="1"/>
  <c r="BD29" i="3"/>
  <c r="M29" i="3" s="1"/>
  <c r="C22" i="3"/>
  <c r="B30" i="3"/>
  <c r="G30" i="3"/>
  <c r="C26" i="3"/>
  <c r="H26" i="3"/>
  <c r="Q25" i="3"/>
  <c r="U25" i="3" s="1"/>
  <c r="Q30" i="3"/>
  <c r="Q27" i="3"/>
  <c r="U27" i="3" s="1"/>
  <c r="Q23" i="3"/>
  <c r="Q28" i="3"/>
  <c r="Q24" i="3"/>
  <c r="Q26" i="3"/>
  <c r="U26" i="3" s="1"/>
  <c r="Q29" i="3"/>
  <c r="U29" i="3" s="1"/>
  <c r="G24" i="3"/>
  <c r="B29" i="3"/>
  <c r="BG22" i="3"/>
  <c r="BB29" i="3"/>
  <c r="BB30" i="3"/>
  <c r="BB26" i="3"/>
  <c r="BB28" i="3"/>
  <c r="BB27" i="3"/>
  <c r="BB25" i="3"/>
  <c r="BB24" i="3"/>
  <c r="BB23" i="3"/>
  <c r="AQ22" i="3"/>
  <c r="C30" i="3"/>
  <c r="G25" i="3"/>
  <c r="K25" i="3" s="1"/>
  <c r="B25" i="3"/>
  <c r="AS30" i="3"/>
  <c r="AS28" i="3"/>
  <c r="AS27" i="3"/>
  <c r="AS26" i="3"/>
  <c r="AS23" i="3"/>
  <c r="AS25" i="3"/>
  <c r="AS29" i="3"/>
  <c r="AS24" i="3"/>
  <c r="C27" i="3"/>
  <c r="AZ22" i="3"/>
  <c r="H29" i="3"/>
  <c r="C29" i="3"/>
  <c r="B27" i="3"/>
  <c r="G27" i="3"/>
  <c r="K27" i="3" s="1"/>
  <c r="BC22" i="3"/>
  <c r="C25" i="3"/>
  <c r="H28" i="3"/>
  <c r="C28" i="3"/>
  <c r="M23" i="3"/>
  <c r="AX22" i="3"/>
  <c r="U24" i="3"/>
  <c r="U30" i="3"/>
  <c r="G23" i="3"/>
  <c r="AV28" i="3"/>
  <c r="AV26" i="3"/>
  <c r="AV29" i="3"/>
  <c r="AV23" i="3"/>
  <c r="AV25" i="3"/>
  <c r="AV24" i="3"/>
  <c r="AV30" i="3"/>
  <c r="AV27" i="3"/>
  <c r="BE30" i="3"/>
  <c r="BE28" i="3"/>
  <c r="BE27" i="3"/>
  <c r="BE24" i="3"/>
  <c r="BE29" i="3"/>
  <c r="BE23" i="3"/>
  <c r="BE26" i="3"/>
  <c r="BE25" i="3"/>
  <c r="V27" i="3"/>
  <c r="Z27" i="3" s="1"/>
  <c r="V28" i="3"/>
  <c r="Z28" i="3" s="1"/>
  <c r="V24" i="3"/>
  <c r="Z24" i="3" s="1"/>
  <c r="V26" i="3"/>
  <c r="Z26" i="3" s="1"/>
  <c r="V25" i="3"/>
  <c r="Z25" i="3" s="1"/>
  <c r="V29" i="3"/>
  <c r="Z29" i="3" s="1"/>
  <c r="V30" i="3"/>
  <c r="Z30" i="3" s="1"/>
  <c r="V23" i="3"/>
  <c r="V22" i="3" s="1"/>
  <c r="Z22" i="3" s="1"/>
  <c r="BI29" i="3"/>
  <c r="BI23" i="3"/>
  <c r="BI30" i="3"/>
  <c r="BI27" i="3"/>
  <c r="BI28" i="3"/>
  <c r="BI24" i="3"/>
  <c r="BI26" i="3"/>
  <c r="BI25" i="3"/>
  <c r="AW28" i="3"/>
  <c r="L28" i="3" s="1"/>
  <c r="P28" i="3" s="1"/>
  <c r="AW29" i="3"/>
  <c r="L29" i="3" s="1"/>
  <c r="P29" i="3" s="1"/>
  <c r="AW24" i="3"/>
  <c r="L24" i="3" s="1"/>
  <c r="P24" i="3" s="1"/>
  <c r="AW23" i="3"/>
  <c r="AW30" i="3"/>
  <c r="L30" i="3" s="1"/>
  <c r="P30" i="3" s="1"/>
  <c r="AW27" i="3"/>
  <c r="L27" i="3" s="1"/>
  <c r="P27" i="3" s="1"/>
  <c r="AW25" i="3"/>
  <c r="L25" i="3" s="1"/>
  <c r="P25" i="3" s="1"/>
  <c r="AW26" i="3"/>
  <c r="L26" i="3" s="1"/>
  <c r="P26" i="3"/>
  <c r="AT22" i="3"/>
  <c r="C24" i="3"/>
  <c r="H24" i="3"/>
  <c r="U28" i="3"/>
  <c r="R22" i="3"/>
  <c r="BH30" i="3"/>
  <c r="BH27" i="3"/>
  <c r="BH29" i="3"/>
  <c r="BH23" i="3"/>
  <c r="BH26" i="3"/>
  <c r="BH24" i="3"/>
  <c r="BH25" i="3"/>
  <c r="BH28" i="3"/>
  <c r="F25" i="3" l="1"/>
  <c r="BK22" i="3"/>
  <c r="H22" i="3"/>
  <c r="AN22" i="3"/>
  <c r="B22" i="3" s="1"/>
  <c r="F22" i="3" s="1"/>
  <c r="F26" i="3"/>
  <c r="F27" i="3"/>
  <c r="BF22" i="3"/>
  <c r="F29" i="3"/>
  <c r="H23" i="3"/>
  <c r="H30" i="3"/>
  <c r="K30" i="3" s="1"/>
  <c r="AV22" i="3"/>
  <c r="K24" i="3"/>
  <c r="G26" i="3"/>
  <c r="K26" i="3" s="1"/>
  <c r="B28" i="3"/>
  <c r="F28" i="3" s="1"/>
  <c r="G28" i="3"/>
  <c r="K28" i="3" s="1"/>
  <c r="F30" i="3"/>
  <c r="M22" i="3"/>
  <c r="L23" i="3"/>
  <c r="AW22" i="3"/>
  <c r="BE22" i="3"/>
  <c r="K23" i="3"/>
  <c r="Z23" i="3"/>
  <c r="F24" i="3"/>
  <c r="BI22" i="3"/>
  <c r="BH22" i="3"/>
  <c r="AS22" i="3"/>
  <c r="Q22" i="3"/>
  <c r="U22" i="3" s="1"/>
  <c r="U23" i="3"/>
  <c r="BB22" i="3"/>
  <c r="G22" i="3" l="1"/>
  <c r="K22" i="3" s="1"/>
  <c r="L22" i="3"/>
  <c r="P23" i="3"/>
  <c r="Z1" i="3" l="1"/>
  <c r="P22" i="3"/>
  <c r="C1" i="3" l="1"/>
  <c r="BQ97" i="3" l="1"/>
  <c r="BQ95" i="3"/>
  <c r="BV94" i="3"/>
  <c r="BS93" i="3"/>
  <c r="BP92" i="3"/>
  <c r="BW89" i="3"/>
  <c r="BT88" i="3"/>
  <c r="BQ87" i="3"/>
  <c r="BW77" i="3"/>
  <c r="BQ76" i="3"/>
  <c r="BS75" i="3"/>
  <c r="BW73" i="3"/>
  <c r="BQ72" i="3"/>
  <c r="BS71" i="3"/>
  <c r="BQ60" i="3"/>
  <c r="BS59" i="3"/>
  <c r="BW57" i="3"/>
  <c r="BP54" i="3"/>
  <c r="BS53" i="3"/>
  <c r="BV52" i="3"/>
  <c r="AH52" i="3"/>
  <c r="BW39" i="3"/>
  <c r="BW36" i="3"/>
  <c r="BT35" i="3"/>
  <c r="BQ34" i="3"/>
  <c r="BV33" i="3"/>
  <c r="BS32" i="3"/>
  <c r="BP94" i="3"/>
  <c r="BT93" i="3"/>
  <c r="BW92" i="3"/>
  <c r="BV90" i="3"/>
  <c r="BQ89" i="3"/>
  <c r="BQ78" i="3"/>
  <c r="BS76" i="3"/>
  <c r="BT75" i="3"/>
  <c r="BT74" i="3"/>
  <c r="BV72" i="3"/>
  <c r="BW71" i="3"/>
  <c r="BP60" i="3"/>
  <c r="BR60" i="3" s="1"/>
  <c r="BQ59" i="3"/>
  <c r="BS57" i="3"/>
  <c r="BT56" i="3"/>
  <c r="BT55" i="3"/>
  <c r="BV53" i="3"/>
  <c r="BW52" i="3"/>
  <c r="BV40" i="3"/>
  <c r="BQ39" i="3"/>
  <c r="BV38" i="3"/>
  <c r="BP37" i="3"/>
  <c r="BT36" i="3"/>
  <c r="BS34" i="3"/>
  <c r="BW33" i="3"/>
  <c r="BQ32" i="3"/>
  <c r="BW97" i="3"/>
  <c r="BP95" i="3"/>
  <c r="BS94" i="3"/>
  <c r="BV93" i="3"/>
  <c r="BP91" i="3"/>
  <c r="BS90" i="3"/>
  <c r="BP87" i="3"/>
  <c r="BW72" i="3"/>
  <c r="BV71" i="3"/>
  <c r="BV70" i="3"/>
  <c r="BT58" i="3"/>
  <c r="BT57" i="3"/>
  <c r="BQ56" i="3"/>
  <c r="BP55" i="3"/>
  <c r="AH55" i="3"/>
  <c r="BW53" i="3"/>
  <c r="BT52" i="3"/>
  <c r="BT38" i="3"/>
  <c r="BW37" i="3"/>
  <c r="BP36" i="3"/>
  <c r="BV97" i="3"/>
  <c r="BV92" i="3"/>
  <c r="BQ90" i="3"/>
  <c r="BT89" i="3"/>
  <c r="BW88" i="3"/>
  <c r="BW76" i="3"/>
  <c r="BW75" i="3"/>
  <c r="BW74" i="3"/>
  <c r="BV73" i="3"/>
  <c r="BT70" i="3"/>
  <c r="BT60" i="3"/>
  <c r="BT59" i="3"/>
  <c r="BS58" i="3"/>
  <c r="BP56" i="3"/>
  <c r="AH56" i="3"/>
  <c r="BW54" i="3"/>
  <c r="BS52" i="3"/>
  <c r="BP39" i="3"/>
  <c r="BS38" i="3"/>
  <c r="BV37" i="3"/>
  <c r="BQ35" i="3"/>
  <c r="BT34" i="3"/>
  <c r="BT97" i="3"/>
  <c r="BS96" i="3"/>
  <c r="BV87" i="3"/>
  <c r="BP78" i="3"/>
  <c r="BQ75" i="3"/>
  <c r="BS72" i="3"/>
  <c r="BP71" i="3"/>
  <c r="BQ55" i="3"/>
  <c r="BT54" i="3"/>
  <c r="BQ52" i="3"/>
  <c r="BV36" i="3"/>
  <c r="BV35" i="3"/>
  <c r="BV34" i="3"/>
  <c r="BS33" i="3"/>
  <c r="BT32" i="3"/>
  <c r="BS97" i="3"/>
  <c r="BQ96" i="3"/>
  <c r="BV88" i="3"/>
  <c r="BV77" i="3"/>
  <c r="BT76" i="3"/>
  <c r="BP75" i="3"/>
  <c r="BR75" i="3" s="1"/>
  <c r="BT73" i="3"/>
  <c r="BW58" i="3"/>
  <c r="BQ57" i="3"/>
  <c r="BW56" i="3"/>
  <c r="BS54" i="3"/>
  <c r="AH54" i="3"/>
  <c r="BP52" i="3"/>
  <c r="BW40" i="3"/>
  <c r="BV39" i="3"/>
  <c r="BW22" i="3"/>
  <c r="BP96" i="3"/>
  <c r="BW91" i="3"/>
  <c r="BW90" i="3"/>
  <c r="BV89" i="3"/>
  <c r="BS88" i="3"/>
  <c r="BT87" i="3"/>
  <c r="BS73" i="3"/>
  <c r="BU73" i="3" s="1"/>
  <c r="BP72" i="3"/>
  <c r="BW70" i="3"/>
  <c r="BV58" i="3"/>
  <c r="BP57" i="3"/>
  <c r="BV56" i="3"/>
  <c r="BW38" i="3"/>
  <c r="BT37" i="3"/>
  <c r="BS36" i="3"/>
  <c r="BS35" i="3"/>
  <c r="BP34" i="3"/>
  <c r="BQ33" i="3"/>
  <c r="BP32" i="3"/>
  <c r="BV22" i="3"/>
  <c r="BV96" i="3"/>
  <c r="BW94" i="3"/>
  <c r="BP93" i="3"/>
  <c r="BS91" i="3"/>
  <c r="BS89" i="3"/>
  <c r="BV78" i="3"/>
  <c r="BV76" i="3"/>
  <c r="BP70" i="3"/>
  <c r="BV59" i="3"/>
  <c r="BV57" i="3"/>
  <c r="AH53" i="3"/>
  <c r="BQ40" i="3"/>
  <c r="BT33" i="3"/>
  <c r="BV21" i="3"/>
  <c r="BQ20" i="3"/>
  <c r="BW19" i="3"/>
  <c r="BW16" i="3"/>
  <c r="BT15" i="3"/>
  <c r="BQ14" i="3"/>
  <c r="BV13" i="3"/>
  <c r="BS12" i="3"/>
  <c r="BT96" i="3"/>
  <c r="BQ91" i="3"/>
  <c r="BW87" i="3"/>
  <c r="BT78" i="3"/>
  <c r="BP76" i="3"/>
  <c r="BR76" i="3" s="1"/>
  <c r="BQ74" i="3"/>
  <c r="BP40" i="3"/>
  <c r="BQ38" i="3"/>
  <c r="BP33" i="3"/>
  <c r="BQ22" i="3"/>
  <c r="BP20" i="3"/>
  <c r="BV19" i="3"/>
  <c r="BT18" i="3"/>
  <c r="BQ17" i="3"/>
  <c r="BV16" i="3"/>
  <c r="BS15" i="3"/>
  <c r="BP14" i="3"/>
  <c r="BW95" i="3"/>
  <c r="BQ94" i="3"/>
  <c r="BS92" i="3"/>
  <c r="BV75" i="3"/>
  <c r="BT94" i="3"/>
  <c r="BT92" i="3"/>
  <c r="BP89" i="3"/>
  <c r="BS87" i="3"/>
  <c r="BS78" i="3"/>
  <c r="BP74" i="3"/>
  <c r="BT71" i="3"/>
  <c r="BP59" i="3"/>
  <c r="BT53" i="3"/>
  <c r="BP38" i="3"/>
  <c r="BP22" i="3"/>
  <c r="BT21" i="3"/>
  <c r="BW20" i="3"/>
  <c r="BS18" i="3"/>
  <c r="BP17" i="3"/>
  <c r="BW14" i="3"/>
  <c r="BT13" i="3"/>
  <c r="BQ12" i="3"/>
  <c r="BP97" i="3"/>
  <c r="BT95" i="3"/>
  <c r="BW93" i="3"/>
  <c r="BQ92" i="3"/>
  <c r="BP90" i="3"/>
  <c r="BS77" i="3"/>
  <c r="BP73" i="3"/>
  <c r="BS70" i="3"/>
  <c r="BV60" i="3"/>
  <c r="BP58" i="3"/>
  <c r="AH57" i="3"/>
  <c r="BV55" i="3"/>
  <c r="BQ54" i="3"/>
  <c r="BP53" i="3"/>
  <c r="BS37" i="3"/>
  <c r="BQ21" i="3"/>
  <c r="BT20" i="3"/>
  <c r="BP18" i="3"/>
  <c r="BW15" i="3"/>
  <c r="BT14" i="3"/>
  <c r="BQ13" i="3"/>
  <c r="BV12" i="3"/>
  <c r="BS95" i="3"/>
  <c r="BV91" i="3"/>
  <c r="BQ88" i="3"/>
  <c r="BQ77" i="3"/>
  <c r="BV74" i="3"/>
  <c r="BX74" i="3" s="1"/>
  <c r="BT90" i="3"/>
  <c r="BT39" i="3"/>
  <c r="BW96" i="3"/>
  <c r="BS74" i="3"/>
  <c r="BW60" i="3"/>
  <c r="BV54" i="3"/>
  <c r="BS39" i="3"/>
  <c r="BQ36" i="3"/>
  <c r="BW32" i="3"/>
  <c r="BV15" i="3"/>
  <c r="BS14" i="3"/>
  <c r="BT22" i="3"/>
  <c r="BV20" i="3"/>
  <c r="BV17" i="3"/>
  <c r="BS16" i="3"/>
  <c r="BQ15" i="3"/>
  <c r="BT72" i="3"/>
  <c r="BP35" i="3"/>
  <c r="BS22" i="3"/>
  <c r="BT19" i="3"/>
  <c r="BW18" i="3"/>
  <c r="BT17" i="3"/>
  <c r="BQ16" i="3"/>
  <c r="BP15" i="3"/>
  <c r="BQ19" i="3"/>
  <c r="BT91" i="3"/>
  <c r="BP77" i="3"/>
  <c r="BQ70" i="3"/>
  <c r="BS40" i="3"/>
  <c r="BQ37" i="3"/>
  <c r="BP19" i="3"/>
  <c r="BQ18" i="3"/>
  <c r="BV14" i="3"/>
  <c r="BW13" i="3"/>
  <c r="BT12" i="3"/>
  <c r="BP21" i="3"/>
  <c r="BS13" i="3"/>
  <c r="BP12" i="3"/>
  <c r="BV95" i="3"/>
  <c r="BQ73" i="3"/>
  <c r="BS60" i="3"/>
  <c r="BV32" i="3"/>
  <c r="BW17" i="3"/>
  <c r="BT16" i="3"/>
  <c r="BP13" i="3"/>
  <c r="BP88" i="3"/>
  <c r="BW59" i="3"/>
  <c r="BS56" i="3"/>
  <c r="BW35" i="3"/>
  <c r="BS21" i="3"/>
  <c r="BW21" i="3"/>
  <c r="BS20" i="3"/>
  <c r="BS19" i="3"/>
  <c r="BV18" i="3"/>
  <c r="BS17" i="3"/>
  <c r="BP16" i="3"/>
  <c r="BW12" i="3"/>
  <c r="BT77" i="3"/>
  <c r="BS55" i="3"/>
  <c r="BT40" i="3"/>
  <c r="BQ93" i="3"/>
  <c r="BW78" i="3"/>
  <c r="BQ71" i="3"/>
  <c r="BQ58" i="3"/>
  <c r="BW55" i="3"/>
  <c r="BQ53" i="3"/>
  <c r="BW34" i="3"/>
  <c r="BX71" i="3" l="1"/>
  <c r="BU74" i="3"/>
  <c r="BU56" i="3"/>
  <c r="BU15" i="3"/>
  <c r="BZ38" i="3"/>
  <c r="BR72" i="3"/>
  <c r="BX77" i="3"/>
  <c r="BU19" i="3"/>
  <c r="BX16" i="3"/>
  <c r="BX40" i="3"/>
  <c r="BU37" i="3"/>
  <c r="BU55" i="3"/>
  <c r="BU78" i="3"/>
  <c r="BX17" i="3"/>
  <c r="BX54" i="3"/>
  <c r="BZ93" i="3"/>
  <c r="BU36" i="3"/>
  <c r="BX57" i="3"/>
  <c r="BZ14" i="3"/>
  <c r="BR78" i="3"/>
  <c r="BX20" i="3"/>
  <c r="BZ37" i="3"/>
  <c r="BX91" i="3"/>
  <c r="BU60" i="3"/>
  <c r="BX14" i="3"/>
  <c r="BU18" i="3"/>
  <c r="BX73" i="3"/>
  <c r="BZ15" i="3"/>
  <c r="BU95" i="3"/>
  <c r="BX39" i="3"/>
  <c r="BX56" i="3"/>
  <c r="BU54" i="3"/>
  <c r="BX18" i="3"/>
  <c r="BZ88" i="3"/>
  <c r="BX60" i="3"/>
  <c r="BU89" i="3"/>
  <c r="BR56" i="3"/>
  <c r="BU35" i="3"/>
  <c r="BU33" i="3"/>
  <c r="BU72" i="3"/>
  <c r="BZ35" i="3"/>
  <c r="BU58" i="3"/>
  <c r="BU14" i="3"/>
  <c r="BR59" i="3"/>
  <c r="BX75" i="3"/>
  <c r="BX37" i="3"/>
  <c r="BR73" i="3"/>
  <c r="BX15" i="3"/>
  <c r="BX19" i="3"/>
  <c r="BU88" i="3"/>
  <c r="BU38" i="3"/>
  <c r="BU20" i="3"/>
  <c r="BX22" i="3"/>
  <c r="BX89" i="3"/>
  <c r="BX36" i="3"/>
  <c r="BZ36" i="3"/>
  <c r="BX76" i="3"/>
  <c r="BR57" i="3"/>
  <c r="BZ18" i="3"/>
  <c r="BX95" i="3"/>
  <c r="BZ16" i="3"/>
  <c r="BU16" i="3"/>
  <c r="BU39" i="3"/>
  <c r="BR58" i="3"/>
  <c r="BZ33" i="3"/>
  <c r="BX58" i="3"/>
  <c r="BY97" i="3"/>
  <c r="BR97" i="3"/>
  <c r="BR22" i="3"/>
  <c r="BY22" i="3"/>
  <c r="BY89" i="3"/>
  <c r="BR89" i="3"/>
  <c r="BS23" i="3"/>
  <c r="BU12" i="3"/>
  <c r="BY34" i="3"/>
  <c r="BR34" i="3"/>
  <c r="BW81" i="3"/>
  <c r="BR96" i="3"/>
  <c r="BY96" i="3"/>
  <c r="BU97" i="3"/>
  <c r="AL56" i="3"/>
  <c r="AM56" i="3"/>
  <c r="AI56" i="3"/>
  <c r="AN56" i="3"/>
  <c r="AK56" i="3"/>
  <c r="AJ56" i="3"/>
  <c r="AP56" i="3"/>
  <c r="AO56" i="3"/>
  <c r="BU94" i="3"/>
  <c r="BX38" i="3"/>
  <c r="BZ89" i="3"/>
  <c r="BU59" i="3"/>
  <c r="BZ87" i="3"/>
  <c r="BQ98" i="3"/>
  <c r="BR12" i="3"/>
  <c r="BY12" i="3"/>
  <c r="BP23" i="3"/>
  <c r="BY13" i="3"/>
  <c r="BR13" i="3"/>
  <c r="BU13" i="3"/>
  <c r="BU40" i="3"/>
  <c r="BZ21" i="3"/>
  <c r="BU70" i="3"/>
  <c r="BS81" i="3"/>
  <c r="BZ12" i="3"/>
  <c r="BQ23" i="3"/>
  <c r="BY38" i="3"/>
  <c r="BR38" i="3"/>
  <c r="BR40" i="3"/>
  <c r="BY40" i="3"/>
  <c r="BX13" i="3"/>
  <c r="BZ40" i="3"/>
  <c r="BU91" i="3"/>
  <c r="BT43" i="3"/>
  <c r="BR71" i="3"/>
  <c r="BX70" i="3"/>
  <c r="BV81" i="3"/>
  <c r="BY95" i="3"/>
  <c r="BR95" i="3"/>
  <c r="BZ39" i="3"/>
  <c r="BX90" i="3"/>
  <c r="BT64" i="3"/>
  <c r="BU71" i="3"/>
  <c r="BR19" i="3"/>
  <c r="BY19" i="3"/>
  <c r="BY21" i="3"/>
  <c r="CA21" i="3" s="1"/>
  <c r="BR21" i="3"/>
  <c r="BU21" i="3"/>
  <c r="BT23" i="3"/>
  <c r="BR77" i="3"/>
  <c r="BU22" i="3"/>
  <c r="BV23" i="3"/>
  <c r="BX12" i="3"/>
  <c r="BR53" i="3"/>
  <c r="BU77" i="3"/>
  <c r="BT98" i="3"/>
  <c r="BX34" i="3"/>
  <c r="BZ32" i="3"/>
  <c r="BQ43" i="3"/>
  <c r="BW64" i="3"/>
  <c r="BX72" i="3"/>
  <c r="AP52" i="3"/>
  <c r="AO52" i="3"/>
  <c r="AL52" i="3"/>
  <c r="AK52" i="3"/>
  <c r="A124" i="3"/>
  <c r="AM52" i="3"/>
  <c r="AN52" i="3"/>
  <c r="AJ52" i="3"/>
  <c r="AI52" i="3"/>
  <c r="BY92" i="3"/>
  <c r="BR92" i="3"/>
  <c r="A125" i="3"/>
  <c r="AM53" i="3"/>
  <c r="AO53" i="3"/>
  <c r="AN53" i="3"/>
  <c r="AL53" i="3"/>
  <c r="AP53" i="3"/>
  <c r="AK53" i="3"/>
  <c r="AJ53" i="3"/>
  <c r="AI53" i="3"/>
  <c r="BW23" i="3"/>
  <c r="BV43" i="3"/>
  <c r="BX32" i="3"/>
  <c r="BR35" i="3"/>
  <c r="BY35" i="3"/>
  <c r="BZ13" i="3"/>
  <c r="BR90" i="3"/>
  <c r="BY90" i="3"/>
  <c r="BR17" i="3"/>
  <c r="BY17" i="3"/>
  <c r="BU92" i="3"/>
  <c r="BX59" i="3"/>
  <c r="BX96" i="3"/>
  <c r="BP64" i="3"/>
  <c r="BR52" i="3"/>
  <c r="BX35" i="3"/>
  <c r="BZ90" i="3"/>
  <c r="AO55" i="3"/>
  <c r="AM55" i="3"/>
  <c r="AP55" i="3"/>
  <c r="AN55" i="3"/>
  <c r="AL55" i="3"/>
  <c r="A127" i="3"/>
  <c r="AK55" i="3"/>
  <c r="AJ55" i="3"/>
  <c r="AI55" i="3"/>
  <c r="BY87" i="3"/>
  <c r="BP98" i="3"/>
  <c r="BR87" i="3"/>
  <c r="BX53" i="3"/>
  <c r="BY94" i="3"/>
  <c r="BR94" i="3"/>
  <c r="BV64" i="3"/>
  <c r="BX52" i="3"/>
  <c r="BU93" i="3"/>
  <c r="BY88" i="3"/>
  <c r="BR88" i="3"/>
  <c r="BY93" i="3"/>
  <c r="BR93" i="3"/>
  <c r="BR16" i="3"/>
  <c r="BY16" i="3"/>
  <c r="BZ19" i="3"/>
  <c r="BW43" i="3"/>
  <c r="BX55" i="3"/>
  <c r="BZ92" i="3"/>
  <c r="BR74" i="3"/>
  <c r="BZ94" i="3"/>
  <c r="BY20" i="3"/>
  <c r="BR20" i="3"/>
  <c r="BW98" i="3"/>
  <c r="BP81" i="3"/>
  <c r="BR70" i="3"/>
  <c r="AJ54" i="3"/>
  <c r="AN54" i="3"/>
  <c r="AP54" i="3"/>
  <c r="AO54" i="3"/>
  <c r="AI54" i="3"/>
  <c r="AL54" i="3"/>
  <c r="AK54" i="3"/>
  <c r="A126" i="3"/>
  <c r="AM54" i="3"/>
  <c r="BV98" i="3"/>
  <c r="BX87" i="3"/>
  <c r="BR39" i="3"/>
  <c r="BY39" i="3"/>
  <c r="BT81" i="3"/>
  <c r="BX92" i="3"/>
  <c r="BR55" i="3"/>
  <c r="BU90" i="3"/>
  <c r="BU34" i="3"/>
  <c r="BS43" i="3"/>
  <c r="BU32" i="3"/>
  <c r="BU53" i="3"/>
  <c r="BU75" i="3"/>
  <c r="BX94" i="3"/>
  <c r="BQ81" i="3"/>
  <c r="BZ17" i="3"/>
  <c r="BU17" i="3"/>
  <c r="BR15" i="3"/>
  <c r="BY15" i="3"/>
  <c r="AI57" i="3"/>
  <c r="AL57" i="3"/>
  <c r="AK57" i="3"/>
  <c r="AJ57" i="3"/>
  <c r="AP57" i="3"/>
  <c r="AO57" i="3"/>
  <c r="AN57" i="3"/>
  <c r="AM57" i="3"/>
  <c r="BZ22" i="3"/>
  <c r="BZ91" i="3"/>
  <c r="BZ20" i="3"/>
  <c r="BY32" i="3"/>
  <c r="BR32" i="3"/>
  <c r="BP43" i="3"/>
  <c r="BX88" i="3"/>
  <c r="BQ64" i="3"/>
  <c r="BU96" i="3"/>
  <c r="BS64" i="3"/>
  <c r="BU52" i="3"/>
  <c r="BX97" i="3"/>
  <c r="BR91" i="3"/>
  <c r="BY91" i="3"/>
  <c r="BU76" i="3"/>
  <c r="BX33" i="3"/>
  <c r="BR54" i="3"/>
  <c r="BZ95" i="3"/>
  <c r="BY18" i="3"/>
  <c r="BR18" i="3"/>
  <c r="BS98" i="3"/>
  <c r="BU87" i="3"/>
  <c r="BY14" i="3"/>
  <c r="BR14" i="3"/>
  <c r="BR33" i="3"/>
  <c r="BY33" i="3"/>
  <c r="BX21" i="3"/>
  <c r="BX78" i="3"/>
  <c r="BZ96" i="3"/>
  <c r="BY36" i="3"/>
  <c r="BR36" i="3"/>
  <c r="BX93" i="3"/>
  <c r="BR37" i="3"/>
  <c r="BY37" i="3"/>
  <c r="BU57" i="3"/>
  <c r="BZ34" i="3"/>
  <c r="BZ97" i="3"/>
  <c r="CA38" i="3" l="1"/>
  <c r="CA39" i="3"/>
  <c r="CA93" i="3"/>
  <c r="CA33" i="3"/>
  <c r="CA37" i="3"/>
  <c r="CA14" i="3"/>
  <c r="CA36" i="3"/>
  <c r="CA35" i="3"/>
  <c r="E126" i="3"/>
  <c r="CA16" i="3"/>
  <c r="CA15" i="3"/>
  <c r="B125" i="3"/>
  <c r="BX64" i="3"/>
  <c r="B127" i="3"/>
  <c r="B126" i="3"/>
  <c r="CA88" i="3"/>
  <c r="CA18" i="3"/>
  <c r="CA90" i="3"/>
  <c r="BR64" i="3"/>
  <c r="BU98" i="3"/>
  <c r="BU43" i="3"/>
  <c r="CA20" i="3"/>
  <c r="C124" i="3"/>
  <c r="F124" i="3"/>
  <c r="AE5" i="3"/>
  <c r="Z3" i="3"/>
  <c r="BZ43" i="3"/>
  <c r="CA13" i="3"/>
  <c r="BU23" i="3"/>
  <c r="BX98" i="3"/>
  <c r="CA94" i="3"/>
  <c r="C127" i="3"/>
  <c r="O128" i="3"/>
  <c r="Q128" i="3" s="1"/>
  <c r="F127" i="3"/>
  <c r="O126" i="3"/>
  <c r="Q126" i="3" s="1"/>
  <c r="F125" i="3"/>
  <c r="C125" i="3"/>
  <c r="BZ23" i="3"/>
  <c r="E128" i="3"/>
  <c r="G128" i="3" s="1"/>
  <c r="CA91" i="3"/>
  <c r="E127" i="3"/>
  <c r="E124" i="3"/>
  <c r="CA12" i="3"/>
  <c r="BY23" i="3"/>
  <c r="BR43" i="3"/>
  <c r="BR98" i="3"/>
  <c r="CA92" i="3"/>
  <c r="BU81" i="3"/>
  <c r="BR23" i="3"/>
  <c r="CA96" i="3"/>
  <c r="CA89" i="3"/>
  <c r="CA32" i="3"/>
  <c r="BY43" i="3"/>
  <c r="O127" i="3"/>
  <c r="Q127" i="3" s="1"/>
  <c r="F126" i="3"/>
  <c r="C126" i="3"/>
  <c r="BR81" i="3"/>
  <c r="B124" i="3"/>
  <c r="CA95" i="3"/>
  <c r="CA40" i="3"/>
  <c r="CA22" i="3"/>
  <c r="BU64" i="3"/>
  <c r="CA87" i="3"/>
  <c r="BY98" i="3"/>
  <c r="BX43" i="3"/>
  <c r="E125" i="3"/>
  <c r="BX23" i="3"/>
  <c r="CA19" i="3"/>
  <c r="BZ98" i="3"/>
  <c r="CA17" i="3"/>
  <c r="BX81" i="3"/>
  <c r="B128" i="3"/>
  <c r="D128" i="3" s="1"/>
  <c r="CA34" i="3"/>
  <c r="CA97" i="3"/>
  <c r="G126" i="3" l="1"/>
  <c r="D127" i="3"/>
  <c r="D126" i="3"/>
  <c r="D125" i="3"/>
  <c r="CA98" i="3"/>
  <c r="G127" i="3"/>
  <c r="CA23" i="3"/>
  <c r="G125" i="3"/>
  <c r="D124" i="3"/>
  <c r="AA1" i="3"/>
  <c r="G124" i="3"/>
  <c r="CA43" i="3"/>
</calcChain>
</file>

<file path=xl/sharedStrings.xml><?xml version="1.0" encoding="utf-8"?>
<sst xmlns="http://schemas.openxmlformats.org/spreadsheetml/2006/main" count="210" uniqueCount="72">
  <si>
    <t>Mobile Gross Adds</t>
  </si>
  <si>
    <t>Mobile Net Adds</t>
  </si>
  <si>
    <t>Fixed Net MRC</t>
  </si>
  <si>
    <t>Revenue</t>
  </si>
  <si>
    <t>du Tech</t>
  </si>
  <si>
    <t>Actual</t>
  </si>
  <si>
    <t>Target</t>
  </si>
  <si>
    <t>% Achiev.</t>
  </si>
  <si>
    <t>QTD</t>
  </si>
  <si>
    <t>Mazen Adem</t>
  </si>
  <si>
    <t>Abdel Azim Sharabati</t>
  </si>
  <si>
    <t>Abraham Cherian</t>
  </si>
  <si>
    <t>Arjun Subaraman</t>
  </si>
  <si>
    <t>Ehab Hajou</t>
  </si>
  <si>
    <t>Ghassan Fouany</t>
  </si>
  <si>
    <t>Inayat Fazili</t>
  </si>
  <si>
    <t>Mohamad Labban</t>
  </si>
  <si>
    <t>Nadeem Rasheed</t>
  </si>
  <si>
    <t>Report as of :</t>
  </si>
  <si>
    <t>Quarterly KPIs</t>
  </si>
  <si>
    <t>Mobile Churn</t>
  </si>
  <si>
    <t>Mobile Upgrade</t>
  </si>
  <si>
    <t>Fixed Gross Adds</t>
  </si>
  <si>
    <t>Fixed Churn</t>
  </si>
  <si>
    <t>Fixed Upgrade/Downgrade</t>
  </si>
  <si>
    <t>Port Ins</t>
  </si>
  <si>
    <t>Port Outs</t>
  </si>
  <si>
    <t>MTD Line Activations</t>
  </si>
  <si>
    <t>Note: Corporate/MPR split is based on Customer L40 Pricegroup mapping</t>
  </si>
  <si>
    <t>Lines</t>
  </si>
  <si>
    <t>KEY-B</t>
  </si>
  <si>
    <t>Postpaid</t>
  </si>
  <si>
    <t>Prepaid</t>
  </si>
  <si>
    <t>Data Sim</t>
  </si>
  <si>
    <t>Grand Total</t>
  </si>
  <si>
    <t>Corporate</t>
  </si>
  <si>
    <t>MPR</t>
  </si>
  <si>
    <t>Total</t>
  </si>
  <si>
    <t>FOGH</t>
  </si>
  <si>
    <t>* red: &lt;</t>
  </si>
  <si>
    <t>* green: &gt;</t>
  </si>
  <si>
    <t>MNP Postpaid</t>
  </si>
  <si>
    <t>Net MNP</t>
  </si>
  <si>
    <t>MNP Prepaid</t>
  </si>
  <si>
    <t>Points</t>
  </si>
  <si>
    <t>Handset Devices</t>
  </si>
  <si>
    <t>Month</t>
  </si>
  <si>
    <t>Q1'2024</t>
  </si>
  <si>
    <t>du Tech DDoS</t>
  </si>
  <si>
    <t>Q2'2024</t>
  </si>
  <si>
    <t>Q3'2024</t>
  </si>
  <si>
    <t>Q4'2024</t>
  </si>
  <si>
    <t>Q1'2025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</si>
  <si>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</si>
  <si>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</si>
  <si>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</si>
  <si>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</si>
  <si>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</si>
  <si>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</si>
  <si>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</si>
  <si>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</si>
  <si>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</si>
  <si>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</si>
  <si>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</si>
  <si>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</si>
  <si>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 Revenue</t>
  </si>
  <si>
    <t>2026 Revenue</t>
  </si>
  <si>
    <t>GLK Net Add Lines</t>
  </si>
  <si>
    <t>Forecast - Most Likely</t>
  </si>
  <si>
    <t>Forecast - Upside</t>
  </si>
  <si>
    <t>2026 Fixed Net MRC</t>
  </si>
  <si>
    <t>2025 Fixed Net MRC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</si>
</sst>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[$-409]mmm\-yy;@"/>
    <numFmt numFmtId="167" formatCode="[$-409]d\-mmm\-yy;@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entury Gothic"/>
      <family val="2"/>
    </font>
    <font>
      <b/>
      <sz val="11"/>
      <color theme="1"/>
      <name val="Century Gothic"/>
      <family val="2"/>
    </font>
    <font>
      <b/>
      <sz val="11"/>
      <color rgb="FFFFC000"/>
      <name val="Century Gothic"/>
      <family val="2"/>
    </font>
    <font>
      <b/>
      <sz val="11"/>
      <name val="Century Gothic"/>
      <family val="2"/>
    </font>
    <font>
      <sz val="11"/>
      <color theme="1"/>
      <name val="Century Gothic"/>
      <family val="2"/>
    </font>
    <font>
      <b/>
      <sz val="11"/>
      <color theme="6"/>
      <name val="Century Gothic"/>
      <family val="2"/>
    </font>
    <font>
      <b/>
      <sz val="10"/>
      <color theme="1"/>
      <name val="Century Gothic"/>
      <family val="2"/>
    </font>
    <font>
      <b/>
      <sz val="10"/>
      <name val="Century Gothic"/>
      <family val="2"/>
    </font>
    <font>
      <sz val="11"/>
      <color theme="0"/>
      <name val="Century Gothic"/>
      <family val="2"/>
    </font>
    <font>
      <b/>
      <u/>
      <sz val="11"/>
      <color theme="1"/>
      <name val="Century Gothic"/>
      <family val="2"/>
    </font>
    <font>
      <b/>
      <sz val="14"/>
      <color theme="1"/>
      <name val="Century Gothic"/>
      <family val="2"/>
    </font>
    <font>
      <b/>
      <sz val="16"/>
      <color theme="0"/>
      <name val="Century Gothic"/>
      <family val="2"/>
    </font>
    <font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i/>
      <sz val="11"/>
      <color rgb="FFC00000"/>
      <name val="Century Gothic"/>
      <family val="2"/>
    </font>
    <font>
      <i/>
      <sz val="11"/>
      <color theme="1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ck">
        <color theme="7"/>
      </left>
      <right style="thick">
        <color theme="7"/>
      </right>
      <top/>
      <bottom/>
      <diagonal/>
    </border>
    <border>
      <left/>
      <right style="thin">
        <color theme="7" tint="0.79998168889431442"/>
      </right>
      <top/>
      <bottom style="thin">
        <color theme="7" tint="0.79998168889431442"/>
      </bottom>
      <diagonal/>
    </border>
    <border>
      <left style="thin">
        <color theme="7" tint="0.79998168889431442"/>
      </left>
      <right style="thin">
        <color theme="7" tint="0.79998168889431442"/>
      </right>
      <top/>
      <bottom style="thin">
        <color theme="7" tint="0.79998168889431442"/>
      </bottom>
      <diagonal/>
    </border>
    <border>
      <left style="thin">
        <color theme="7" tint="0.79998168889431442"/>
      </left>
      <right style="thick">
        <color theme="7"/>
      </right>
      <top/>
      <bottom style="thin">
        <color theme="7" tint="0.79998168889431442"/>
      </bottom>
      <diagonal/>
    </border>
    <border>
      <left style="thin">
        <color theme="7" tint="0.79998168889431442"/>
      </left>
      <right style="thick">
        <color theme="7"/>
      </right>
      <top style="thin">
        <color theme="7" tint="0.79998168889431442"/>
      </top>
      <bottom style="thin">
        <color theme="7" tint="0.79998168889431442"/>
      </bottom>
      <diagonal/>
    </border>
    <border>
      <left style="thick">
        <color theme="7"/>
      </left>
      <right style="thick">
        <color theme="7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ck">
        <color theme="7"/>
      </left>
      <right style="thin">
        <color theme="6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7" tint="0.79998168889431442"/>
      </left>
      <right/>
      <top style="thin">
        <color theme="7" tint="0.79998168889431442"/>
      </top>
      <bottom style="thin">
        <color theme="7" tint="0.79998168889431442"/>
      </bottom>
      <diagonal/>
    </border>
    <border>
      <left style="thick">
        <color theme="7"/>
      </left>
      <right style="thick">
        <color theme="7"/>
      </right>
      <top style="thin">
        <color theme="4" tint="0.39994506668294322"/>
      </top>
      <bottom style="thick">
        <color theme="7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 style="thin">
        <color theme="7" tint="0.79998168889431442"/>
      </left>
      <right/>
      <top style="thin">
        <color theme="7" tint="0.79998168889431442"/>
      </top>
      <bottom style="thick">
        <color theme="7"/>
      </bottom>
      <diagonal/>
    </border>
    <border>
      <left style="thick">
        <color theme="7"/>
      </left>
      <right style="thin">
        <color theme="6" tint="0.79998168889431442"/>
      </right>
      <top style="thin">
        <color theme="7" tint="0.79998168889431442"/>
      </top>
      <bottom style="thick">
        <color theme="7"/>
      </bottom>
      <diagonal/>
    </border>
    <border>
      <left style="thin">
        <color theme="7" tint="0.79998168889431442"/>
      </left>
      <right style="thick">
        <color theme="7"/>
      </right>
      <top style="thin">
        <color theme="7" tint="0.79998168889431442"/>
      </top>
      <bottom style="thick">
        <color theme="7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/>
      <right/>
      <top style="thick">
        <color theme="7"/>
      </top>
      <bottom style="thin">
        <color theme="7" tint="0.79998168889431442"/>
      </bottom>
      <diagonal/>
    </border>
    <border>
      <left style="thick">
        <color theme="7"/>
      </left>
      <right/>
      <top style="thick">
        <color theme="7"/>
      </top>
      <bottom style="thin">
        <color theme="7" tint="0.79998168889431442"/>
      </bottom>
      <diagonal/>
    </border>
    <border>
      <left/>
      <right style="thick">
        <color theme="7"/>
      </right>
      <top style="thick">
        <color theme="7"/>
      </top>
      <bottom style="thin">
        <color theme="7" tint="0.79998168889431442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/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/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/>
      <diagonal/>
    </border>
    <border>
      <left/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 style="thin">
        <color theme="7"/>
      </right>
      <top style="thin">
        <color theme="7" tint="0.79998168889431442"/>
      </top>
      <bottom style="thin">
        <color theme="6"/>
      </bottom>
      <diagonal/>
    </border>
    <border>
      <left style="thin">
        <color theme="7"/>
      </left>
      <right/>
      <top style="thin">
        <color theme="7" tint="0.79998168889431442"/>
      </top>
      <bottom style="thin">
        <color theme="6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 style="thin">
        <color theme="7"/>
      </left>
      <right style="thick">
        <color theme="7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 style="thick">
        <color theme="7"/>
      </right>
      <top style="thin">
        <color theme="6"/>
      </top>
      <bottom style="thin">
        <color theme="7" tint="0.79998168889431442"/>
      </bottom>
      <diagonal/>
    </border>
    <border>
      <left style="thick">
        <color theme="7"/>
      </left>
      <right style="thick">
        <color theme="7"/>
      </right>
      <top style="thick">
        <color theme="7"/>
      </top>
      <bottom/>
      <diagonal/>
    </border>
    <border>
      <left style="thick">
        <color theme="7"/>
      </left>
      <right style="thick">
        <color theme="7"/>
      </right>
      <top/>
      <bottom style="thick">
        <color theme="7"/>
      </bottom>
      <diagonal/>
    </border>
    <border>
      <left/>
      <right style="thick">
        <color theme="7"/>
      </right>
      <top/>
      <bottom/>
      <diagonal/>
    </border>
    <border>
      <left/>
      <right style="thick">
        <color theme="7"/>
      </right>
      <top/>
      <bottom style="thick">
        <color theme="7"/>
      </bottom>
      <diagonal/>
    </border>
    <border>
      <left style="thick">
        <color theme="7"/>
      </left>
      <right style="thin">
        <color theme="7" tint="0.79998168889431442"/>
      </right>
      <top/>
      <bottom style="thin">
        <color theme="7" tint="0.79998168889431442"/>
      </bottom>
      <diagonal/>
    </border>
    <border>
      <left style="thick">
        <color theme="7"/>
      </left>
      <right/>
      <top style="thick">
        <color theme="7"/>
      </top>
      <bottom style="thin">
        <color theme="7"/>
      </bottom>
      <diagonal/>
    </border>
    <border>
      <left/>
      <right/>
      <top style="thick">
        <color theme="7"/>
      </top>
      <bottom style="thin">
        <color theme="7"/>
      </bottom>
      <diagonal/>
    </border>
    <border>
      <left/>
      <right style="thick">
        <color theme="7"/>
      </right>
      <top style="thick">
        <color theme="7"/>
      </top>
      <bottom style="thin">
        <color theme="7"/>
      </bottom>
      <diagonal/>
    </border>
    <border>
      <left style="thick">
        <color theme="7"/>
      </left>
      <right/>
      <top style="thin">
        <color theme="7"/>
      </top>
      <bottom style="thin">
        <color theme="7" tint="0.79998168889431442"/>
      </bottom>
      <diagonal/>
    </border>
    <border>
      <left/>
      <right/>
      <top style="thin">
        <color theme="7"/>
      </top>
      <bottom style="thin">
        <color theme="7" tint="0.79998168889431442"/>
      </bottom>
      <diagonal/>
    </border>
    <border>
      <left/>
      <right style="thin">
        <color theme="7"/>
      </right>
      <top style="thin">
        <color theme="7"/>
      </top>
      <bottom style="thin">
        <color theme="7" tint="0.79998168889431442"/>
      </bottom>
      <diagonal/>
    </border>
    <border>
      <left style="thin">
        <color theme="7"/>
      </left>
      <right/>
      <top style="thin">
        <color theme="7"/>
      </top>
      <bottom style="thin">
        <color theme="7" tint="0.79998168889431442"/>
      </bottom>
      <diagonal/>
    </border>
    <border>
      <left/>
      <right style="thick">
        <color theme="7"/>
      </right>
      <top style="thin">
        <color theme="7"/>
      </top>
      <bottom style="thin">
        <color theme="7" tint="0.79998168889431442"/>
      </bottom>
      <diagonal/>
    </border>
    <border>
      <left style="medium">
        <color theme="4" tint="0.39988402966399123"/>
      </left>
      <right style="thin">
        <color theme="4" tint="0.39994506668294322"/>
      </right>
      <top style="medium">
        <color theme="4" tint="0.39988402966399123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medium">
        <color theme="4" tint="0.39988402966399123"/>
      </top>
      <bottom style="thin">
        <color theme="4" tint="0.39994506668294322"/>
      </bottom>
      <diagonal/>
    </border>
    <border>
      <left style="thin">
        <color theme="4" tint="0.39994506668294322"/>
      </left>
      <right style="medium">
        <color theme="4" tint="0.39988402966399123"/>
      </right>
      <top style="medium">
        <color theme="4" tint="0.39988402966399123"/>
      </top>
      <bottom style="thin">
        <color theme="4" tint="0.39994506668294322"/>
      </bottom>
      <diagonal/>
    </border>
    <border>
      <left style="thick">
        <color theme="7"/>
      </left>
      <right/>
      <top/>
      <bottom/>
      <diagonal/>
    </border>
    <border>
      <left style="medium">
        <color theme="4" tint="0.39988402966399123"/>
      </left>
      <right style="medium">
        <color theme="4" tint="0.39988402966399123"/>
      </right>
      <top/>
      <bottom style="thin">
        <color theme="4"/>
      </bottom>
      <diagonal/>
    </border>
    <border>
      <left style="medium">
        <color theme="4" tint="0.39988402966399123"/>
      </left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 style="thin">
        <color theme="4" tint="0.39997558519241921"/>
      </bottom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/>
      <top/>
      <bottom style="thick">
        <color theme="7"/>
      </bottom>
      <diagonal/>
    </border>
    <border>
      <left/>
      <right style="medium">
        <color theme="4" tint="0.39988402966399123"/>
      </right>
      <top/>
      <bottom/>
      <diagonal/>
    </border>
    <border>
      <left style="medium">
        <color theme="4" tint="0.39988402966399123"/>
      </left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/>
      <right style="medium">
        <color theme="4" tint="0.39988402966399123"/>
      </right>
      <top style="thin">
        <color theme="7" tint="0.79998168889431442"/>
      </top>
      <bottom style="thin">
        <color theme="6"/>
      </bottom>
      <diagonal/>
    </border>
    <border>
      <left style="medium">
        <color theme="4" tint="0.39988402966399123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medium">
        <color theme="4" tint="0.39988402966399123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/>
      <diagonal/>
    </border>
    <border>
      <left style="medium">
        <color theme="4" tint="0.39988402966399123"/>
      </left>
      <right style="medium">
        <color theme="4" tint="0.39988402966399123"/>
      </right>
      <top style="medium">
        <color theme="4" tint="0.39988402966399123"/>
      </top>
      <bottom/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medium">
        <color theme="4" tint="0.39988402966399123"/>
      </left>
      <right style="medium">
        <color theme="4" tint="0.39988402966399123"/>
      </right>
      <top/>
      <bottom style="medium">
        <color theme="4" tint="0.39988402966399123"/>
      </bottom>
      <diagonal/>
    </border>
    <border>
      <left style="thick">
        <color theme="7"/>
      </left>
      <right/>
      <top style="thick">
        <color theme="7"/>
      </top>
      <bottom/>
      <diagonal/>
    </border>
    <border>
      <left style="thick">
        <color theme="7"/>
      </left>
      <right/>
      <top style="thin">
        <color theme="7" tint="0.79998168889431442"/>
      </top>
      <bottom/>
      <diagonal/>
    </border>
    <border>
      <left style="thick">
        <color theme="7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7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ck">
        <color theme="7"/>
      </right>
      <top style="thin">
        <color theme="4" tint="0.39991454817346722"/>
      </top>
      <bottom style="thin">
        <color theme="4" tint="0.39991454817346722"/>
      </bottom>
      <diagonal/>
    </border>
    <border>
      <left style="thick">
        <color theme="7"/>
      </left>
      <right/>
      <top style="thin">
        <color theme="4" tint="0.39994506668294322"/>
      </top>
      <bottom style="thick">
        <color theme="7"/>
      </bottom>
      <diagonal/>
    </border>
    <border>
      <left style="thick">
        <color theme="7"/>
      </left>
      <right style="thin">
        <color theme="4" tint="0.39991454817346722"/>
      </right>
      <top style="thin">
        <color theme="4" tint="0.39991454817346722"/>
      </top>
      <bottom style="thick">
        <color theme="7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ck">
        <color theme="7"/>
      </bottom>
      <diagonal/>
    </border>
    <border>
      <left style="thin">
        <color theme="4" tint="0.39991454817346722"/>
      </left>
      <right style="thick">
        <color theme="7"/>
      </right>
      <top style="thin">
        <color theme="4" tint="0.39991454817346722"/>
      </top>
      <bottom style="thick">
        <color theme="7"/>
      </bottom>
      <diagonal/>
    </border>
    <border>
      <left style="thick">
        <color theme="7"/>
      </left>
      <right style="thin">
        <color theme="7" tint="0.79998168889431442"/>
      </right>
      <top style="thin">
        <color theme="6"/>
      </top>
      <bottom style="thin">
        <color theme="7" tint="0.7999816888943144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/>
  </cellStyleXfs>
  <cellXfs count="133">
    <xf numFmtId="0" fontId="0" fillId="0" borderId="0" xfId="0"/>
    <xf numFmtId="165" fontId="4" fillId="3" borderId="2" xfId="1" applyNumberFormat="1" applyFont="1" applyFill="1" applyBorder="1" applyAlignment="1">
      <alignment horizontal="center" vertical="top"/>
    </xf>
    <xf numFmtId="165" fontId="4" fillId="3" borderId="3" xfId="1" applyNumberFormat="1" applyFont="1" applyFill="1" applyBorder="1" applyAlignment="1">
      <alignment horizontal="center" vertical="top"/>
    </xf>
    <xf numFmtId="9" fontId="5" fillId="3" borderId="4" xfId="2" applyFont="1" applyFill="1" applyBorder="1" applyAlignment="1">
      <alignment horizontal="center" vertical="top"/>
    </xf>
    <xf numFmtId="9" fontId="5" fillId="0" borderId="5" xfId="2" applyFont="1" applyBorder="1" applyAlignment="1">
      <alignment horizontal="center" vertical="top"/>
    </xf>
    <xf numFmtId="165" fontId="7" fillId="0" borderId="7" xfId="1" applyNumberFormat="1" applyFont="1" applyFill="1" applyBorder="1" applyAlignment="1">
      <alignment horizontal="center" vertical="top"/>
    </xf>
    <xf numFmtId="165" fontId="7" fillId="0" borderId="8" xfId="1" applyNumberFormat="1" applyFont="1" applyFill="1" applyBorder="1" applyAlignment="1">
      <alignment horizontal="center" vertical="top"/>
    </xf>
    <xf numFmtId="165" fontId="7" fillId="0" borderId="9" xfId="1" applyNumberFormat="1" applyFont="1" applyFill="1" applyBorder="1" applyAlignment="1">
      <alignment horizontal="center" vertical="top"/>
    </xf>
    <xf numFmtId="165" fontId="7" fillId="0" borderId="10" xfId="1" applyNumberFormat="1" applyFont="1" applyFill="1" applyBorder="1" applyAlignment="1">
      <alignment horizontal="center" vertical="top"/>
    </xf>
    <xf numFmtId="9" fontId="5" fillId="0" borderId="11" xfId="2" applyFont="1" applyBorder="1" applyAlignment="1">
      <alignment horizontal="center" vertical="top"/>
    </xf>
    <xf numFmtId="165" fontId="7" fillId="0" borderId="13" xfId="1" applyNumberFormat="1" applyFont="1" applyFill="1" applyBorder="1" applyAlignment="1">
      <alignment horizontal="center" vertical="top"/>
    </xf>
    <xf numFmtId="165" fontId="7" fillId="0" borderId="14" xfId="1" applyNumberFormat="1" applyFont="1" applyFill="1" applyBorder="1" applyAlignment="1">
      <alignment horizontal="center" vertical="top"/>
    </xf>
    <xf numFmtId="9" fontId="5" fillId="0" borderId="15" xfId="2" applyFont="1" applyBorder="1" applyAlignment="1">
      <alignment horizontal="center" vertical="top"/>
    </xf>
    <xf numFmtId="165" fontId="7" fillId="0" borderId="16" xfId="1" applyNumberFormat="1" applyFont="1" applyFill="1" applyBorder="1" applyAlignment="1">
      <alignment horizontal="center" vertical="top"/>
    </xf>
    <xf numFmtId="9" fontId="5" fillId="0" borderId="17" xfId="2" applyFont="1" applyBorder="1" applyAlignment="1">
      <alignment horizontal="center" vertical="top"/>
    </xf>
    <xf numFmtId="165" fontId="7" fillId="0" borderId="18" xfId="1" applyNumberFormat="1" applyFont="1" applyFill="1" applyBorder="1" applyAlignment="1">
      <alignment horizontal="center" vertical="top"/>
    </xf>
    <xf numFmtId="9" fontId="5" fillId="3" borderId="31" xfId="2" applyFont="1" applyFill="1" applyBorder="1" applyAlignment="1">
      <alignment horizontal="center" vertical="top"/>
    </xf>
    <xf numFmtId="165" fontId="4" fillId="3" borderId="36" xfId="1" applyNumberFormat="1" applyFont="1" applyFill="1" applyBorder="1" applyAlignment="1">
      <alignment horizontal="center" vertical="top"/>
    </xf>
    <xf numFmtId="15" fontId="7" fillId="0" borderId="0" xfId="3" applyNumberFormat="1" applyFont="1"/>
    <xf numFmtId="166" fontId="9" fillId="0" borderId="0" xfId="3" applyFont="1" applyAlignment="1">
      <alignment horizontal="right"/>
    </xf>
    <xf numFmtId="167" fontId="10" fillId="0" borderId="0" xfId="3" applyNumberFormat="1" applyFont="1" applyAlignment="1">
      <alignment horizontal="left"/>
    </xf>
    <xf numFmtId="4" fontId="11" fillId="0" borderId="0" xfId="3" applyNumberFormat="1" applyFont="1"/>
    <xf numFmtId="166" fontId="7" fillId="0" borderId="0" xfId="3" applyFont="1"/>
    <xf numFmtId="166" fontId="12" fillId="0" borderId="0" xfId="3" applyFont="1"/>
    <xf numFmtId="166" fontId="12" fillId="7" borderId="0" xfId="3" applyFont="1" applyFill="1"/>
    <xf numFmtId="4" fontId="9" fillId="0" borderId="0" xfId="3" applyNumberFormat="1" applyFont="1" applyAlignment="1">
      <alignment horizontal="right"/>
    </xf>
    <xf numFmtId="166" fontId="11" fillId="0" borderId="0" xfId="3" applyFont="1"/>
    <xf numFmtId="166" fontId="7" fillId="2" borderId="0" xfId="3" applyFont="1" applyFill="1"/>
    <xf numFmtId="166" fontId="6" fillId="0" borderId="0" xfId="3" applyFont="1" applyAlignment="1">
      <alignment vertical="center"/>
    </xf>
    <xf numFmtId="166" fontId="14" fillId="6" borderId="40" xfId="3" applyFont="1" applyFill="1" applyBorder="1" applyAlignment="1">
      <alignment horizontal="centerContinuous" vertical="center"/>
    </xf>
    <xf numFmtId="166" fontId="14" fillId="6" borderId="41" xfId="3" applyFont="1" applyFill="1" applyBorder="1" applyAlignment="1">
      <alignment horizontal="centerContinuous" vertical="center"/>
    </xf>
    <xf numFmtId="166" fontId="14" fillId="6" borderId="42" xfId="3" applyFont="1" applyFill="1" applyBorder="1" applyAlignment="1">
      <alignment horizontal="centerContinuous" vertical="center"/>
    </xf>
    <xf numFmtId="166" fontId="14" fillId="6" borderId="43" xfId="3" applyFont="1" applyFill="1" applyBorder="1" applyAlignment="1">
      <alignment horizontal="centerContinuous" vertical="center"/>
    </xf>
    <xf numFmtId="166" fontId="14" fillId="6" borderId="44" xfId="3" applyFont="1" applyFill="1" applyBorder="1" applyAlignment="1">
      <alignment horizontal="centerContinuous" vertical="center"/>
    </xf>
    <xf numFmtId="166" fontId="3" fillId="9" borderId="45" xfId="3" applyFont="1" applyFill="1" applyBorder="1" applyAlignment="1">
      <alignment horizontal="centerContinuous" vertical="center"/>
    </xf>
    <xf numFmtId="166" fontId="3" fillId="9" borderId="46" xfId="3" applyFont="1" applyFill="1" applyBorder="1" applyAlignment="1">
      <alignment horizontal="centerContinuous" vertical="center"/>
    </xf>
    <xf numFmtId="166" fontId="3" fillId="9" borderId="47" xfId="3" applyFont="1" applyFill="1" applyBorder="1" applyAlignment="1">
      <alignment horizontal="centerContinuous" vertical="center"/>
    </xf>
    <xf numFmtId="166" fontId="15" fillId="0" borderId="0" xfId="3" applyFont="1" applyAlignment="1">
      <alignment horizontal="center"/>
    </xf>
    <xf numFmtId="166" fontId="15" fillId="0" borderId="48" xfId="3" applyFont="1" applyBorder="1" applyAlignment="1">
      <alignment horizontal="center"/>
    </xf>
    <xf numFmtId="166" fontId="7" fillId="0" borderId="34" xfId="3" applyFont="1" applyBorder="1"/>
    <xf numFmtId="166" fontId="1" fillId="0" borderId="0" xfId="3"/>
    <xf numFmtId="166" fontId="7" fillId="7" borderId="0" xfId="3" applyFont="1" applyFill="1"/>
    <xf numFmtId="166" fontId="16" fillId="0" borderId="0" xfId="3" applyFont="1"/>
    <xf numFmtId="166" fontId="7" fillId="0" borderId="48" xfId="3" applyFont="1" applyBorder="1"/>
    <xf numFmtId="166" fontId="17" fillId="0" borderId="0" xfId="3" applyFont="1"/>
    <xf numFmtId="166" fontId="4" fillId="10" borderId="49" xfId="3" applyFont="1" applyFill="1" applyBorder="1" applyAlignment="1">
      <alignment horizontal="left" vertical="center"/>
    </xf>
    <xf numFmtId="166" fontId="4" fillId="11" borderId="52" xfId="3" applyFont="1" applyFill="1" applyBorder="1" applyAlignment="1">
      <alignment horizontal="left" vertical="center"/>
    </xf>
    <xf numFmtId="166" fontId="6" fillId="2" borderId="53" xfId="3" applyFont="1" applyFill="1" applyBorder="1" applyAlignment="1">
      <alignment horizontal="centerContinuous" vertical="center"/>
    </xf>
    <xf numFmtId="166" fontId="4" fillId="11" borderId="54" xfId="3" applyFont="1" applyFill="1" applyBorder="1" applyAlignment="1">
      <alignment horizontal="left" vertical="center"/>
    </xf>
    <xf numFmtId="166" fontId="3" fillId="9" borderId="53" xfId="3" applyFont="1" applyFill="1" applyBorder="1" applyAlignment="1">
      <alignment horizontal="center" vertical="center"/>
    </xf>
    <xf numFmtId="166" fontId="3" fillId="9" borderId="53" xfId="3" applyFont="1" applyFill="1" applyBorder="1" applyAlignment="1">
      <alignment horizontal="center" vertical="top"/>
    </xf>
    <xf numFmtId="165" fontId="7" fillId="0" borderId="53" xfId="1" applyNumberFormat="1" applyFont="1" applyBorder="1" applyAlignment="1">
      <alignment horizontal="center" vertical="top"/>
    </xf>
    <xf numFmtId="165" fontId="7" fillId="0" borderId="0" xfId="1" applyNumberFormat="1" applyFont="1"/>
    <xf numFmtId="166" fontId="7" fillId="0" borderId="55" xfId="3" applyFont="1" applyBorder="1"/>
    <xf numFmtId="166" fontId="7" fillId="0" borderId="56" xfId="3" applyFont="1" applyBorder="1"/>
    <xf numFmtId="166" fontId="7" fillId="0" borderId="35" xfId="3" applyFont="1" applyBorder="1"/>
    <xf numFmtId="166" fontId="3" fillId="6" borderId="19" xfId="3" applyFont="1" applyFill="1" applyBorder="1" applyAlignment="1">
      <alignment horizontal="centerContinuous" vertical="center"/>
    </xf>
    <xf numFmtId="166" fontId="3" fillId="6" borderId="20" xfId="3" applyFont="1" applyFill="1" applyBorder="1" applyAlignment="1">
      <alignment horizontal="centerContinuous" vertical="center"/>
    </xf>
    <xf numFmtId="166" fontId="3" fillId="6" borderId="21" xfId="3" applyFont="1" applyFill="1" applyBorder="1" applyAlignment="1">
      <alignment horizontal="centerContinuous" vertical="center"/>
    </xf>
    <xf numFmtId="166" fontId="3" fillId="2" borderId="22" xfId="3" applyFont="1" applyFill="1" applyBorder="1" applyAlignment="1">
      <alignment horizontal="centerContinuous" vertical="top"/>
    </xf>
    <xf numFmtId="166" fontId="3" fillId="2" borderId="23" xfId="3" applyFont="1" applyFill="1" applyBorder="1" applyAlignment="1">
      <alignment horizontal="center" vertical="top"/>
    </xf>
    <xf numFmtId="166" fontId="3" fillId="2" borderId="11" xfId="3" applyFont="1" applyFill="1" applyBorder="1" applyAlignment="1">
      <alignment horizontal="center" vertical="top"/>
    </xf>
    <xf numFmtId="166" fontId="3" fillId="2" borderId="24" xfId="3" applyFont="1" applyFill="1" applyBorder="1" applyAlignment="1">
      <alignment horizontal="centerContinuous" vertical="top"/>
    </xf>
    <xf numFmtId="166" fontId="3" fillId="2" borderId="5" xfId="3" applyFont="1" applyFill="1" applyBorder="1" applyAlignment="1">
      <alignment horizontal="center" vertical="top"/>
    </xf>
    <xf numFmtId="166" fontId="8" fillId="0" borderId="25" xfId="3" applyFont="1" applyBorder="1" applyAlignment="1">
      <alignment horizontal="center" vertical="center"/>
    </xf>
    <xf numFmtId="166" fontId="8" fillId="0" borderId="30" xfId="3" applyFont="1" applyBorder="1" applyAlignment="1">
      <alignment horizontal="center" vertical="center"/>
    </xf>
    <xf numFmtId="166" fontId="8" fillId="0" borderId="26" xfId="3" applyFont="1" applyBorder="1" applyAlignment="1">
      <alignment horizontal="center" vertical="center"/>
    </xf>
    <xf numFmtId="166" fontId="8" fillId="0" borderId="27" xfId="3" applyFont="1" applyBorder="1" applyAlignment="1">
      <alignment horizontal="center" vertical="center"/>
    </xf>
    <xf numFmtId="166" fontId="8" fillId="0" borderId="28" xfId="3" applyFont="1" applyBorder="1" applyAlignment="1">
      <alignment horizontal="center" vertical="center"/>
    </xf>
    <xf numFmtId="166" fontId="8" fillId="0" borderId="29" xfId="3" applyFont="1" applyBorder="1" applyAlignment="1">
      <alignment horizontal="center" vertical="center"/>
    </xf>
    <xf numFmtId="166" fontId="8" fillId="0" borderId="58" xfId="3" applyFont="1" applyBorder="1" applyAlignment="1">
      <alignment horizontal="center" vertical="center"/>
    </xf>
    <xf numFmtId="166" fontId="8" fillId="0" borderId="59" xfId="3" applyFont="1" applyBorder="1" applyAlignment="1">
      <alignment horizontal="center" vertical="center"/>
    </xf>
    <xf numFmtId="166" fontId="3" fillId="2" borderId="1" xfId="3" applyFont="1" applyFill="1" applyBorder="1" applyAlignment="1">
      <alignment horizontal="left" vertical="top"/>
    </xf>
    <xf numFmtId="9" fontId="7" fillId="0" borderId="0" xfId="3" applyNumberFormat="1" applyFont="1"/>
    <xf numFmtId="4" fontId="7" fillId="0" borderId="0" xfId="3" applyNumberFormat="1" applyFont="1"/>
    <xf numFmtId="166" fontId="4" fillId="7" borderId="49" xfId="3" applyFont="1" applyFill="1" applyBorder="1" applyAlignment="1">
      <alignment horizontal="left" vertical="center"/>
    </xf>
    <xf numFmtId="165" fontId="4" fillId="7" borderId="60" xfId="1" applyNumberFormat="1" applyFont="1" applyFill="1" applyBorder="1" applyAlignment="1">
      <alignment horizontal="center" vertical="top"/>
    </xf>
    <xf numFmtId="165" fontId="4" fillId="7" borderId="53" xfId="1" applyNumberFormat="1" applyFont="1" applyFill="1" applyBorder="1" applyAlignment="1">
      <alignment horizontal="center" vertical="top"/>
    </xf>
    <xf numFmtId="165" fontId="4" fillId="7" borderId="61" xfId="1" applyNumberFormat="1" applyFont="1" applyFill="1" applyBorder="1" applyAlignment="1">
      <alignment horizontal="center" vertical="top"/>
    </xf>
    <xf numFmtId="166" fontId="6" fillId="4" borderId="6" xfId="3" applyFont="1" applyFill="1" applyBorder="1" applyAlignment="1">
      <alignment horizontal="left" vertical="center"/>
    </xf>
    <xf numFmtId="165" fontId="7" fillId="0" borderId="60" xfId="1" applyNumberFormat="1" applyFont="1" applyBorder="1" applyAlignment="1">
      <alignment horizontal="center" vertical="top"/>
    </xf>
    <xf numFmtId="165" fontId="7" fillId="0" borderId="61" xfId="1" applyNumberFormat="1" applyFont="1" applyBorder="1" applyAlignment="1">
      <alignment horizontal="center" vertical="top"/>
    </xf>
    <xf numFmtId="165" fontId="6" fillId="5" borderId="53" xfId="1" applyNumberFormat="1" applyFont="1" applyFill="1" applyBorder="1" applyAlignment="1">
      <alignment horizontal="left"/>
    </xf>
    <xf numFmtId="165" fontId="6" fillId="5" borderId="53" xfId="1" applyNumberFormat="1" applyFont="1" applyFill="1" applyBorder="1" applyAlignment="1">
      <alignment horizontal="right"/>
    </xf>
    <xf numFmtId="166" fontId="6" fillId="4" borderId="12" xfId="3" applyFont="1" applyFill="1" applyBorder="1" applyAlignment="1">
      <alignment horizontal="left" vertical="center"/>
    </xf>
    <xf numFmtId="166" fontId="4" fillId="7" borderId="0" xfId="3" applyFont="1" applyFill="1" applyAlignment="1">
      <alignment horizontal="left" vertical="center"/>
    </xf>
    <xf numFmtId="165" fontId="7" fillId="0" borderId="0" xfId="1" applyNumberFormat="1" applyFont="1" applyBorder="1" applyAlignment="1">
      <alignment horizontal="center" vertical="top"/>
    </xf>
    <xf numFmtId="165" fontId="3" fillId="9" borderId="53" xfId="1" applyNumberFormat="1" applyFont="1" applyFill="1" applyBorder="1" applyAlignment="1">
      <alignment horizontal="center" vertical="center"/>
    </xf>
    <xf numFmtId="165" fontId="3" fillId="9" borderId="53" xfId="1" applyNumberFormat="1" applyFont="1" applyFill="1" applyBorder="1" applyAlignment="1">
      <alignment horizontal="center" vertical="top"/>
    </xf>
    <xf numFmtId="166" fontId="18" fillId="12" borderId="0" xfId="3" applyFont="1" applyFill="1" applyAlignment="1">
      <alignment horizontal="right"/>
    </xf>
    <xf numFmtId="9" fontId="7" fillId="12" borderId="0" xfId="3" applyNumberFormat="1" applyFont="1" applyFill="1" applyAlignment="1">
      <alignment horizontal="left"/>
    </xf>
    <xf numFmtId="165" fontId="11" fillId="0" borderId="0" xfId="1" applyNumberFormat="1" applyFont="1"/>
    <xf numFmtId="4" fontId="11" fillId="12" borderId="0" xfId="3" applyNumberFormat="1" applyFont="1" applyFill="1"/>
    <xf numFmtId="166" fontId="4" fillId="0" borderId="0" xfId="3" applyFont="1"/>
    <xf numFmtId="165" fontId="4" fillId="0" borderId="0" xfId="1" applyNumberFormat="1" applyFont="1"/>
    <xf numFmtId="166" fontId="3" fillId="9" borderId="63" xfId="3" applyFont="1" applyFill="1" applyBorder="1" applyAlignment="1">
      <alignment horizontal="center" vertical="center" wrapText="1"/>
    </xf>
    <xf numFmtId="166" fontId="3" fillId="9" borderId="45" xfId="3" applyFont="1" applyFill="1" applyBorder="1" applyAlignment="1">
      <alignment horizontal="centerContinuous" vertical="center" wrapText="1"/>
    </xf>
    <xf numFmtId="165" fontId="7" fillId="12" borderId="64" xfId="1" applyNumberFormat="1" applyFont="1" applyFill="1" applyBorder="1" applyAlignment="1">
      <alignment horizontal="center" vertical="center"/>
    </xf>
    <xf numFmtId="166" fontId="4" fillId="10" borderId="65" xfId="3" applyFont="1" applyFill="1" applyBorder="1" applyAlignment="1">
      <alignment horizontal="left" vertical="center"/>
    </xf>
    <xf numFmtId="166" fontId="4" fillId="10" borderId="0" xfId="3" applyFont="1" applyFill="1" applyAlignment="1">
      <alignment horizontal="left" vertical="center"/>
    </xf>
    <xf numFmtId="166" fontId="3" fillId="6" borderId="66" xfId="3" applyFont="1" applyFill="1" applyBorder="1" applyAlignment="1">
      <alignment horizontal="center" vertical="center"/>
    </xf>
    <xf numFmtId="166" fontId="3" fillId="2" borderId="67" xfId="3" applyFont="1" applyFill="1" applyBorder="1" applyAlignment="1">
      <alignment horizontal="center" vertical="center"/>
    </xf>
    <xf numFmtId="166" fontId="3" fillId="2" borderId="24" xfId="3" applyFont="1" applyFill="1" applyBorder="1" applyAlignment="1">
      <alignment horizontal="center" vertical="center"/>
    </xf>
    <xf numFmtId="166" fontId="3" fillId="2" borderId="23" xfId="3" applyFont="1" applyFill="1" applyBorder="1" applyAlignment="1">
      <alignment horizontal="center" vertical="center"/>
    </xf>
    <xf numFmtId="166" fontId="3" fillId="2" borderId="5" xfId="3" applyFont="1" applyFill="1" applyBorder="1" applyAlignment="1">
      <alignment horizontal="center" vertical="center"/>
    </xf>
    <xf numFmtId="166" fontId="6" fillId="4" borderId="68" xfId="3" applyFont="1" applyFill="1" applyBorder="1" applyAlignment="1">
      <alignment horizontal="center" vertical="center"/>
    </xf>
    <xf numFmtId="165" fontId="7" fillId="12" borderId="69" xfId="1" applyNumberFormat="1" applyFont="1" applyFill="1" applyBorder="1" applyAlignment="1">
      <alignment horizontal="center" vertical="center"/>
    </xf>
    <xf numFmtId="9" fontId="4" fillId="0" borderId="70" xfId="2" applyFont="1" applyBorder="1" applyAlignment="1">
      <alignment horizontal="center" vertical="top"/>
    </xf>
    <xf numFmtId="166" fontId="6" fillId="4" borderId="71" xfId="3" applyFont="1" applyFill="1" applyBorder="1" applyAlignment="1">
      <alignment horizontal="center" vertical="center"/>
    </xf>
    <xf numFmtId="165" fontId="7" fillId="12" borderId="72" xfId="1" applyNumberFormat="1" applyFont="1" applyFill="1" applyBorder="1" applyAlignment="1">
      <alignment horizontal="center" vertical="center"/>
    </xf>
    <xf numFmtId="165" fontId="7" fillId="12" borderId="73" xfId="1" applyNumberFormat="1" applyFont="1" applyFill="1" applyBorder="1" applyAlignment="1">
      <alignment horizontal="center" vertical="center"/>
    </xf>
    <xf numFmtId="9" fontId="4" fillId="0" borderId="74" xfId="2" applyFont="1" applyBorder="1" applyAlignment="1">
      <alignment horizontal="center" vertical="top"/>
    </xf>
    <xf numFmtId="164" fontId="0" fillId="0" borderId="0" xfId="1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64" fontId="0" fillId="0" borderId="0" xfId="1" applyFont="1" applyAlignment="1">
      <alignment horizontal="right" vertical="center" wrapText="1"/>
    </xf>
    <xf numFmtId="17" fontId="0" fillId="0" borderId="0" xfId="0" applyNumberFormat="1" applyAlignment="1">
      <alignment vertical="center" wrapText="1"/>
    </xf>
    <xf numFmtId="165" fontId="0" fillId="0" borderId="0" xfId="1" applyNumberFormat="1" applyFont="1" applyAlignment="1">
      <alignment horizontal="right" vertical="center" wrapText="1"/>
    </xf>
    <xf numFmtId="165" fontId="4" fillId="3" borderId="75" xfId="1" applyNumberFormat="1" applyFont="1" applyFill="1" applyBorder="1" applyAlignment="1">
      <alignment horizontal="center" vertical="top"/>
    </xf>
    <xf numFmtId="0" fontId="0" fillId="0" borderId="0" xfId="0" applyAlignment="1">
      <alignment horizontal="right" vertical="center" wrapText="1"/>
    </xf>
    <xf numFmtId="166" fontId="3" fillId="9" borderId="50" xfId="3" applyFont="1" applyFill="1" applyBorder="1" applyAlignment="1">
      <alignment horizontal="center" vertical="center" wrapText="1"/>
    </xf>
    <xf numFmtId="166" fontId="3" fillId="9" borderId="51" xfId="3" applyFont="1" applyFill="1" applyBorder="1" applyAlignment="1">
      <alignment horizontal="center" vertical="center" wrapText="1"/>
    </xf>
    <xf numFmtId="166" fontId="13" fillId="8" borderId="37" xfId="3" applyFont="1" applyFill="1" applyBorder="1" applyAlignment="1">
      <alignment horizontal="center"/>
    </xf>
    <xf numFmtId="166" fontId="13" fillId="8" borderId="38" xfId="3" applyFont="1" applyFill="1" applyBorder="1" applyAlignment="1">
      <alignment horizontal="center"/>
    </xf>
    <xf numFmtId="166" fontId="13" fillId="8" borderId="39" xfId="3" applyFont="1" applyFill="1" applyBorder="1" applyAlignment="1">
      <alignment horizontal="center"/>
    </xf>
    <xf numFmtId="166" fontId="4" fillId="11" borderId="52" xfId="3" applyFont="1" applyFill="1" applyBorder="1" applyAlignment="1">
      <alignment horizontal="left" vertical="center"/>
    </xf>
    <xf numFmtId="166" fontId="4" fillId="11" borderId="54" xfId="3" applyFont="1" applyFill="1" applyBorder="1" applyAlignment="1">
      <alignment horizontal="left" vertical="center"/>
    </xf>
    <xf numFmtId="166" fontId="3" fillId="6" borderId="32" xfId="3" applyFont="1" applyFill="1" applyBorder="1" applyAlignment="1">
      <alignment horizontal="center" vertical="center"/>
    </xf>
    <xf numFmtId="166" fontId="3" fillId="6" borderId="1" xfId="3" applyFont="1" applyFill="1" applyBorder="1" applyAlignment="1">
      <alignment horizontal="center" vertical="center"/>
    </xf>
    <xf numFmtId="166" fontId="3" fillId="6" borderId="33" xfId="3" applyFont="1" applyFill="1" applyBorder="1" applyAlignment="1">
      <alignment horizontal="center" vertical="center"/>
    </xf>
    <xf numFmtId="166" fontId="3" fillId="9" borderId="57" xfId="3" applyFont="1" applyFill="1" applyBorder="1" applyAlignment="1">
      <alignment horizontal="center" vertical="center" wrapText="1"/>
    </xf>
    <xf numFmtId="166" fontId="4" fillId="11" borderId="62" xfId="3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46473DD1-69BE-42BE-8E12-18A3BB282C28}"/>
    <cellStyle name="Percent" xfId="2" builtinId="5"/>
  </cellStyles>
  <dxfs count="4"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'KEY-B'!$V$20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87-4572-81AE-88A7244534E2}"/>
              </c:ext>
            </c:extLst>
          </c:dPt>
          <c:dLbls>
            <c:dLbl>
              <c:idx val="0"/>
              <c:layout>
                <c:manualLayout>
                  <c:x val="0"/>
                  <c:y val="-4.67836257309941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87-4572-81AE-88A7244534E2}"/>
                </c:ext>
              </c:extLst>
            </c:dLbl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87-4572-81AE-88A7244534E2}"/>
                </c:ext>
              </c:extLst>
            </c:dLbl>
            <c:numFmt formatCode="#,##0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'[1]GLK-Performance Qtr-1 '!$C$21:$F$21</c:f>
              <c:strCache>
                <c:ptCount val="4"/>
                <c:pt idx="0">
                  <c:v>46143</c:v>
                </c:pt>
                <c:pt idx="1">
                  <c:v>46174</c:v>
                </c:pt>
                <c:pt idx="2">
                  <c:v> </c:v>
                </c:pt>
                <c:pt idx="3">
                  <c:v>May-26 &amp; Jun-26</c:v>
                </c:pt>
              </c:strCache>
            </c:strRef>
          </c:cat>
          <c:val>
            <c:numRef>
              <c:f>'KEY-B'!$V$22:$Y$22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87-4572-81AE-88A724453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'KEY-B'!$AH$53:$AH$57</c:f>
              <c:numCache>
                <c:formatCode>[$-409]mmm\-yy;@</c:formatCode>
                <c:ptCount val="5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</c:numCache>
            </c:numRef>
          </c:cat>
          <c:val>
            <c:numRef>
              <c:f>'KEY-B'!$AI$53:$AI$57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B-4512-AAAD-E30E7C00B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'KEY-B'!$G$20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85-44DB-A6A3-AECC8C5EB14E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85-44DB-A6A3-AECC8C5EB14E}"/>
                </c:ext>
              </c:extLst>
            </c:dLbl>
            <c:numFmt formatCode="#,##0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'[1]GLK-Performance Qtr-1 '!$C$21:$F$21</c:f>
              <c:strCache>
                <c:ptCount val="4"/>
                <c:pt idx="0">
                  <c:v>46143</c:v>
                </c:pt>
                <c:pt idx="1">
                  <c:v>46174</c:v>
                </c:pt>
                <c:pt idx="2">
                  <c:v> </c:v>
                </c:pt>
                <c:pt idx="3">
                  <c:v>May-26 &amp; Jun-26</c:v>
                </c:pt>
              </c:strCache>
            </c:strRef>
          </c:cat>
          <c:val>
            <c:numRef>
              <c:f>'KEY-B'!$G$22:$J$22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85-44DB-A6A3-AECC8C5EB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'KEY-B'!$L$20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B8-4C0E-9238-AE4D6D042235}"/>
              </c:ext>
            </c:extLst>
          </c:dPt>
          <c:dLbls>
            <c:dLbl>
              <c:idx val="0"/>
              <c:layout>
                <c:manualLayout>
                  <c:x val="-1.2696067553704148E-17"/>
                  <c:y val="-6.43274853801169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B8-4C0E-9238-AE4D6D042235}"/>
                </c:ext>
              </c:extLst>
            </c:dLbl>
            <c:dLbl>
              <c:idx val="1"/>
              <c:layout>
                <c:manualLayout>
                  <c:x val="-5.6980056980056983E-3"/>
                  <c:y val="-3.50877192982455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B8-4C0E-9238-AE4D6D042235}"/>
                </c:ext>
              </c:extLst>
            </c:dLbl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4B8-4C0E-9238-AE4D6D042235}"/>
                </c:ext>
              </c:extLst>
            </c:dLbl>
            <c:numFmt formatCode="#,##0.00,,&quot; M&quot;;[Red]\(#,##0.00,,\)&quot; 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[1]HUNT!$L$21:$O$21</c:f>
              <c:strCache>
                <c:ptCount val="4"/>
                <c:pt idx="0">
                  <c:v>46143</c:v>
                </c:pt>
                <c:pt idx="1">
                  <c:v>46174</c:v>
                </c:pt>
                <c:pt idx="2">
                  <c:v> </c:v>
                </c:pt>
                <c:pt idx="3">
                  <c:v>May-26 &amp; Jun-26</c:v>
                </c:pt>
              </c:strCache>
            </c:strRef>
          </c:cat>
          <c:val>
            <c:numRef>
              <c:f>'KEY-B'!$L$22:$O$22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B8-4C0E-9238-AE4D6D04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'KEY-B'!$Q$20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C1-44A8-BB54-9E938DACB489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C1-44A8-BB54-9E938DACB489}"/>
                </c:ext>
              </c:extLst>
            </c:dLbl>
            <c:numFmt formatCode="#,##0.00,,&quot; M&quot;;[Red]\(#,##0.00,,\)&quot; 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[1]HUNT!$Q$21:$T$21</c:f>
              <c:strCache>
                <c:ptCount val="4"/>
                <c:pt idx="0">
                  <c:v>46143</c:v>
                </c:pt>
                <c:pt idx="1">
                  <c:v>46174</c:v>
                </c:pt>
                <c:pt idx="2">
                  <c:v> </c:v>
                </c:pt>
                <c:pt idx="3">
                  <c:v>May-26 &amp; Jun-26</c:v>
                </c:pt>
              </c:strCache>
            </c:strRef>
          </c:cat>
          <c:val>
            <c:numRef>
              <c:f>'KEY-B'!$Q$22:$T$22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C1-44A8-BB54-9E938DACB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'KEY-B'!$AH$53:$AH$57</c:f>
              <c:numCache>
                <c:formatCode>[$-409]mmm\-yy;@</c:formatCode>
                <c:ptCount val="5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</c:numCache>
            </c:numRef>
          </c:cat>
          <c:val>
            <c:numRef>
              <c:f>'KEY-B'!$AJ$53:$AJ$57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6-46BB-9C91-9FEF3F113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'KEY-B'!$AH$53:$AH$57</c:f>
              <c:numCache>
                <c:formatCode>[$-409]mmm\-yy;@</c:formatCode>
                <c:ptCount val="5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</c:numCache>
            </c:numRef>
          </c:cat>
          <c:val>
            <c:numRef>
              <c:f>'KEY-B'!$AK$53:$AK$57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9-4534-92F5-F6C4A288D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'KEY-B'!$AH$53:$AH$57</c:f>
              <c:numCache>
                <c:formatCode>[$-409]mmm\-yy;@</c:formatCode>
                <c:ptCount val="5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</c:numCache>
            </c:numRef>
          </c:cat>
          <c:val>
            <c:numRef>
              <c:f>'KEY-B'!$AL$53:$AL$57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2-4BB2-9EF0-7CD0D2E2E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'KEY-B'!$AH$53:$AH$57</c:f>
              <c:numCache>
                <c:formatCode>[$-409]mmm\-yy;@</c:formatCode>
                <c:ptCount val="5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</c:numCache>
            </c:numRef>
          </c:cat>
          <c:val>
            <c:numRef>
              <c:f>'KEY-B'!$AM$53:$AM$57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7-4FE9-B29D-BF9DAD346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'KEY-B'!$AH$53:$AH$57</c:f>
              <c:numCache>
                <c:formatCode>[$-409]mmm\-yy;@</c:formatCode>
                <c:ptCount val="5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</c:numCache>
            </c:numRef>
          </c:cat>
          <c:val>
            <c:numRef>
              <c:f>'KEY-B'!$AN$53:$AN$57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0-4B97-81B7-D41C1E91C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'KEY-B'!$AH$53:$AH$57</c:f>
              <c:numCache>
                <c:formatCode>[$-409]mmm\-yy;@</c:formatCode>
                <c:ptCount val="5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</c:numCache>
            </c:numRef>
          </c:cat>
          <c:val>
            <c:numRef>
              <c:f>'KEY-B'!$AO$53:$AO$57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8-496C-A8F2-0B0CD5AE6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'KEY-B'!$AH$53:$AH$57</c:f>
              <c:numCache>
                <c:formatCode>[$-409]mmm\-yy;@</c:formatCode>
                <c:ptCount val="5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</c:numCache>
            </c:numRef>
          </c:cat>
          <c:val>
            <c:numRef>
              <c:f>'KEY-B'!$AP$53:$AP$57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3-4318-A75C-5D2E7754A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'KEY-B'!$G$20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3A-46DB-9508-D66C6A0896A6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3A-46DB-9508-D66C6A0896A6}"/>
                </c:ext>
              </c:extLst>
            </c:dLbl>
            <c:numFmt formatCode="#,##0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'[1]GLK-Performance Qtr-1 '!$C$21:$F$21</c:f>
              <c:strCache>
                <c:ptCount val="4"/>
                <c:pt idx="0">
                  <c:v>46143</c:v>
                </c:pt>
                <c:pt idx="1">
                  <c:v>46174</c:v>
                </c:pt>
                <c:pt idx="2">
                  <c:v> </c:v>
                </c:pt>
                <c:pt idx="3">
                  <c:v>May-26 &amp; Jun-26</c:v>
                </c:pt>
              </c:strCache>
            </c:strRef>
          </c:cat>
          <c:val>
            <c:numRef>
              <c:f>'KEY-B'!$B$22:$E$22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3A-46DB-9508-D66C6A089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'Rev Rec 2026 vs 2025 Trend'!$C$3</c:f>
              <c:strCache>
                <c:ptCount val="1"/>
                <c:pt idx="0">
                  <c:v>2025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1.8791558253830588E-2"/>
                  <c:y val="-3.71322479291630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36B-498D-8307-3CB6C9F3327E}"/>
                </c:ext>
              </c:extLst>
            </c:dLbl>
            <c:dLbl>
              <c:idx val="2"/>
              <c:layout>
                <c:manualLayout>
                  <c:x val="-1.4455044810638966E-2"/>
                  <c:y val="3.71322479291630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36B-498D-8307-3CB6C9F3327E}"/>
                </c:ext>
              </c:extLst>
            </c:dLbl>
            <c:dLbl>
              <c:idx val="3"/>
              <c:layout>
                <c:manualLayout>
                  <c:x val="-5.3001218697741516E-17"/>
                  <c:y val="3.141959440159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6B-498D-8307-3CB6C9F3327E}"/>
                </c:ext>
              </c:extLst>
            </c:dLbl>
            <c:dLbl>
              <c:idx val="4"/>
              <c:layout>
                <c:manualLayout>
                  <c:x val="-2.4573576178086153E-2"/>
                  <c:y val="-4.2844901456726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B-498D-8307-3CB6C9F3327E}"/>
                </c:ext>
              </c:extLst>
            </c:dLbl>
            <c:dLbl>
              <c:idx val="5"/>
              <c:layout>
                <c:manualLayout>
                  <c:x val="-1.0118531367447239E-2"/>
                  <c:y val="-2.85632676378177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36B-498D-8307-3CB6C9F3327E}"/>
                </c:ext>
              </c:extLst>
            </c:dLbl>
            <c:dLbl>
              <c:idx val="7"/>
              <c:layout>
                <c:manualLayout>
                  <c:x val="2.7464585140213934E-2"/>
                  <c:y val="2.85632676378177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36B-498D-8307-3CB6C9F3327E}"/>
                </c:ext>
              </c:extLst>
            </c:dLbl>
            <c:dLbl>
              <c:idx val="8"/>
              <c:layout>
                <c:manualLayout>
                  <c:x val="-1.0600243739548303E-16"/>
                  <c:y val="-2.85632676378177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36B-498D-8307-3CB6C9F332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 Rec 2026 vs 2025 Trend'!$B$4:$B$15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 Rec 2026 vs 2025 Trend'!$C$4:$C$15</c:f>
              <c:numCache>
                <c:formatCode>_(* #,##0.00_);_(* \(#,##0.00\);_(* "-"??_);_(@_)</c:formatCode>
                <c:ptCount val="12"/>
                <c:pt idx="0">
                  <c:v>196609507.08054471</c:v>
                </c:pt>
                <c:pt idx="1">
                  <c:v>203607817.02005002</c:v>
                </c:pt>
                <c:pt idx="2">
                  <c:v>201846388.85214102</c:v>
                </c:pt>
                <c:pt idx="3">
                  <c:v>204084281.22955149</c:v>
                </c:pt>
                <c:pt idx="4">
                  <c:v>205696192.40797001</c:v>
                </c:pt>
                <c:pt idx="5">
                  <c:v>207946841.06590003</c:v>
                </c:pt>
                <c:pt idx="6">
                  <c:v>205337824.8891893</c:v>
                </c:pt>
                <c:pt idx="7">
                  <c:v>224422729.59834498</c:v>
                </c:pt>
                <c:pt idx="8">
                  <c:v>214850701.77054799</c:v>
                </c:pt>
                <c:pt idx="9">
                  <c:v>204827048.48427051</c:v>
                </c:pt>
                <c:pt idx="10">
                  <c:v>213044623.60151601</c:v>
                </c:pt>
                <c:pt idx="11">
                  <c:v>222984992.6186175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6B-498D-8307-3CB6C9F3327E}"/>
            </c:ext>
          </c:extLst>
        </c:ser>
        <c:ser>
          <c:idx val="1"/>
          <c:order val="1"/>
          <c:tx>
            <c:strRef>
              <c:f>'Rev Rec 2026 vs 2025 Trend'!$D$3</c:f>
              <c:strCache>
                <c:ptCount val="1"/>
                <c:pt idx="0">
                  <c:v>2026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4455044810638912E-3"/>
                  <c:y val="-5.9982862039417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36B-498D-8307-3CB6C9F3327E}"/>
                </c:ext>
              </c:extLst>
            </c:dLbl>
            <c:dLbl>
              <c:idx val="1"/>
              <c:layout>
                <c:manualLayout>
                  <c:x val="1.4455044810638912E-3"/>
                  <c:y val="-2.85632676378178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6B-498D-8307-3CB6C9F3327E}"/>
                </c:ext>
              </c:extLst>
            </c:dLbl>
            <c:dLbl>
              <c:idx val="2"/>
              <c:layout>
                <c:manualLayout>
                  <c:x val="1.4455044810638912E-3"/>
                  <c:y val="4.57012282205084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36B-498D-8307-3CB6C9F3327E}"/>
                </c:ext>
              </c:extLst>
            </c:dLbl>
            <c:dLbl>
              <c:idx val="3"/>
              <c:layout>
                <c:manualLayout>
                  <c:x val="-5.7820179242555649E-3"/>
                  <c:y val="2.85632676378177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36B-498D-8307-3CB6C9F3327E}"/>
                </c:ext>
              </c:extLst>
            </c:dLbl>
            <c:dLbl>
              <c:idx val="4"/>
              <c:layout>
                <c:manualLayout>
                  <c:x val="4.3365134431916736E-3"/>
                  <c:y val="3.42759211653813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6B-498D-8307-3CB6C9F3327E}"/>
                </c:ext>
              </c:extLst>
            </c:dLbl>
            <c:dLbl>
              <c:idx val="5"/>
              <c:layout>
                <c:manualLayout>
                  <c:x val="-5.7820179242555649E-3"/>
                  <c:y val="-3.99885746929448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36B-498D-8307-3CB6C9F3327E}"/>
                </c:ext>
              </c:extLst>
            </c:dLbl>
            <c:dLbl>
              <c:idx val="6"/>
              <c:layout>
                <c:manualLayout>
                  <c:x val="-1.7346053772766695E-2"/>
                  <c:y val="-6.28391888031990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36B-498D-8307-3CB6C9F332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 Rec 2026 vs 2025 Trend'!$B$4:$B$15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 Rec 2026 vs 2025 Trend'!$D$4:$D$15</c:f>
              <c:numCache>
                <c:formatCode>_(* #,##0.00_);_(* \(#,##0.00\);_(* "-"??_);_(@_)</c:formatCode>
                <c:ptCount val="12"/>
                <c:pt idx="0">
                  <c:v>220834936.89618552</c:v>
                </c:pt>
                <c:pt idx="1">
                  <c:v>220701659.33905405</c:v>
                </c:pt>
                <c:pt idx="2">
                  <c:v>217674602.39137793</c:v>
                </c:pt>
                <c:pt idx="3">
                  <c:v>221249972.20706403</c:v>
                </c:pt>
                <c:pt idx="4">
                  <c:v>226259086.75328684</c:v>
                </c:pt>
                <c:pt idx="5">
                  <c:v>226259086.75328684</c:v>
                </c:pt>
                <c:pt idx="6">
                  <c:v>218850158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6B-498D-8307-3CB6C9F33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463855"/>
        <c:axId val="1909460111"/>
      </c:lineChart>
      <c:catAx>
        <c:axId val="190946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460111"/>
        <c:crosses val="autoZero"/>
        <c:auto val="1"/>
        <c:lblAlgn val="ctr"/>
        <c:lblOffset val="100"/>
        <c:noMultiLvlLbl val="0"/>
      </c:catAx>
      <c:valAx>
        <c:axId val="190946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463855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156403584851113E-2"/>
                <c:y val="0.43416166809483003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Add Lines MoM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'GLK Net Add Lines Trend'!$C$2</c:f>
              <c:strCache>
                <c:ptCount val="1"/>
                <c:pt idx="0">
                  <c:v>GLK Net Add Lines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6708437761069339E-3"/>
                  <c:y val="-6.87285223367698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2A-4880-A18A-B0D2CBC40680}"/>
                </c:ext>
              </c:extLst>
            </c:dLbl>
            <c:dLbl>
              <c:idx val="1"/>
              <c:layout>
                <c:manualLayout>
                  <c:x val="-3.3416875522138986E-3"/>
                  <c:y val="-7.63650248186330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D2A-4880-A18A-B0D2CBC40680}"/>
                </c:ext>
              </c:extLst>
            </c:dLbl>
            <c:dLbl>
              <c:idx val="2"/>
              <c:layout>
                <c:manualLayout>
                  <c:x val="-4.0100250626566414E-2"/>
                  <c:y val="-0.152730049637266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26-408F-9719-433C6DBF49E3}"/>
                </c:ext>
              </c:extLst>
            </c:dLbl>
            <c:dLbl>
              <c:idx val="3"/>
              <c:layout>
                <c:manualLayout>
                  <c:x val="-1.1695906432748537E-2"/>
                  <c:y val="-9.54562810232913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D2A-4880-A18A-B0D2CBC40680}"/>
                </c:ext>
              </c:extLst>
            </c:dLbl>
            <c:dLbl>
              <c:idx val="4"/>
              <c:layout>
                <c:manualLayout>
                  <c:x val="-2.6733500417711005E-2"/>
                  <c:y val="-0.122184039709812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D2A-4880-A18A-B0D2CBC40680}"/>
                </c:ext>
              </c:extLst>
            </c:dLbl>
            <c:dLbl>
              <c:idx val="5"/>
              <c:layout>
                <c:manualLayout>
                  <c:x val="-1.5037593984962528E-2"/>
                  <c:y val="-8.4001527300496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D2A-4880-A18A-B0D2CBC40680}"/>
                </c:ext>
              </c:extLst>
            </c:dLbl>
            <c:dLbl>
              <c:idx val="6"/>
              <c:layout>
                <c:manualLayout>
                  <c:x val="-1.6708437761069339E-3"/>
                  <c:y val="-8.78197785414280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2A-4880-A18A-B0D2CBC40680}"/>
                </c:ext>
              </c:extLst>
            </c:dLbl>
            <c:dLbl>
              <c:idx val="7"/>
              <c:layout>
                <c:manualLayout>
                  <c:x val="1.0025062656641603E-2"/>
                  <c:y val="-1.4000092819815799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D2A-4880-A18A-B0D2CBC406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cat>
            <c:numRef>
              <c:f>'GLK Net Add Lines Trend'!$B$3:$B$11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'GLK Net Add Lines Trend'!$C$3:$C$11</c:f>
              <c:numCache>
                <c:formatCode>_(* #,##0_);_(* \(#,##0\);_(* "-"??_);_(@_)</c:formatCode>
                <c:ptCount val="9"/>
                <c:pt idx="0">
                  <c:v>19590</c:v>
                </c:pt>
                <c:pt idx="1">
                  <c:v>11871.424999999999</c:v>
                </c:pt>
                <c:pt idx="2">
                  <c:v>-2316.5</c:v>
                </c:pt>
                <c:pt idx="3">
                  <c:v>12016</c:v>
                </c:pt>
                <c:pt idx="4">
                  <c:v>5777</c:v>
                </c:pt>
                <c:pt idx="5">
                  <c:v>19911</c:v>
                </c:pt>
                <c:pt idx="6">
                  <c:v>16125</c:v>
                </c:pt>
                <c:pt idx="7">
                  <c:v>19498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26-408F-9719-433C6DBF49E3}"/>
            </c:ext>
          </c:extLst>
        </c:ser>
        <c:ser>
          <c:idx val="1"/>
          <c:order val="1"/>
          <c:tx>
            <c:strRef>
              <c:f>'GLK Net Add Lines Trend'!$D$2</c:f>
              <c:strCache>
                <c:ptCount val="1"/>
                <c:pt idx="0">
                  <c:v>Forecast - Most Likely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D2A-4880-A18A-B0D2CBC406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'GLK Net Add Lines Trend'!$B$3:$B$11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'GLK Net Add Lines Trend'!$D$3:$D$11</c:f>
              <c:numCache>
                <c:formatCode>General</c:formatCode>
                <c:ptCount val="9"/>
                <c:pt idx="7" formatCode="_(* #,##0_);_(* \(#,##0\);_(* &quot;-&quot;??_);_(@_)">
                  <c:v>19498</c:v>
                </c:pt>
                <c:pt idx="8" formatCode="_(* #,##0_);_(* \(#,##0\);_(* &quot;-&quot;??_);_(@_)">
                  <c:v>13194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2A-4880-A18A-B0D2CBC40680}"/>
            </c:ext>
          </c:extLst>
        </c:ser>
        <c:ser>
          <c:idx val="2"/>
          <c:order val="2"/>
          <c:tx>
            <c:strRef>
              <c:f>'GLK Net Add Lines Trend'!$E$2</c:f>
              <c:strCache>
                <c:ptCount val="1"/>
                <c:pt idx="0">
                  <c:v>Forecast - Upside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D2A-4880-A18A-B0D2CBC406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'GLK Net Add Lines Trend'!$B$3:$B$11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'GLK Net Add Lines Trend'!$E$3:$E$11</c:f>
              <c:numCache>
                <c:formatCode>General</c:formatCode>
                <c:ptCount val="9"/>
                <c:pt idx="7" formatCode="_(* #,##0_);_(* \(#,##0\);_(* &quot;-&quot;??_);_(@_)">
                  <c:v>19498</c:v>
                </c:pt>
                <c:pt idx="8" formatCode="_(* #,##0_);_(* \(#,##0\);_(* &quot;-&quot;??_);_(@_)">
                  <c:v>21651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2A-4880-A18A-B0D2CBC40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415279"/>
        <c:axId val="1778418191"/>
      </c:lineChart>
      <c:dateAx>
        <c:axId val="17784152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418191"/>
        <c:crosses val="autoZero"/>
        <c:auto val="1"/>
        <c:lblOffset val="100"/>
        <c:baseTimeUnit val="months"/>
      </c:dateAx>
      <c:valAx>
        <c:axId val="177841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Add 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41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14572022805916"/>
          <c:y val="0.20611278508958944"/>
          <c:w val="0.8206631208591243"/>
          <c:h val="0.58766122884157168"/>
        </c:manualLayout>
      </c:layout>
      <c:lineChart>
        <c:grouping val="standard"/>
        <c:varyColors val="0"/>
        <c:ser>
          <c:idx val="0"/>
          <c:order val="0"/>
          <c:tx>
            <c:strRef>
              <c:f>'GLK Fixed Net MRC Trend'!$B$2</c:f>
              <c:strCache>
                <c:ptCount val="1"/>
                <c:pt idx="0">
                  <c:v>2025 Fixed Net MRC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3.9249890972525181E-2"/>
                  <c:y val="9.92779783393501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B7E-49A9-8EF8-B3F60DFD464C}"/>
                </c:ext>
              </c:extLst>
            </c:dLbl>
            <c:dLbl>
              <c:idx val="8"/>
              <c:layout>
                <c:manualLayout>
                  <c:x val="-1.0175897659543538E-2"/>
                  <c:y val="3.0084235860409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B7E-49A9-8EF8-B3F60DFD464C}"/>
                </c:ext>
              </c:extLst>
            </c:dLbl>
            <c:dLbl>
              <c:idx val="9"/>
              <c:layout>
                <c:manualLayout>
                  <c:x val="1.6493195655383898E-3"/>
                  <c:y val="7.69066772790585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B7E-49A9-8EF8-B3F60DFD464C}"/>
                </c:ext>
              </c:extLst>
            </c:dLbl>
            <c:dLbl>
              <c:idx val="10"/>
              <c:layout>
                <c:manualLayout>
                  <c:x val="-1.502407010657553E-16"/>
                  <c:y val="-4.6445158985351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B7E-49A9-8EF8-B3F60DFD464C}"/>
                </c:ext>
              </c:extLst>
            </c:dLbl>
            <c:dLbl>
              <c:idx val="11"/>
              <c:layout>
                <c:manualLayout>
                  <c:x val="-1.2292562999385371E-2"/>
                  <c:y val="4.28724544480171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B7E-49A9-8EF8-B3F60DFD46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'GLK Fixed Net MRC Trend'!$A$3:$A$14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'GLK Fixed Net MRC Trend'!$B$3:$B$14</c:f>
              <c:numCache>
                <c:formatCode>_(* #,##0_);_(* \(#,##0\);_(* "-"??_);_(@_)</c:formatCode>
                <c:ptCount val="12"/>
                <c:pt idx="0">
                  <c:v>2509391.3000000003</c:v>
                </c:pt>
                <c:pt idx="1">
                  <c:v>1449303.52</c:v>
                </c:pt>
                <c:pt idx="2">
                  <c:v>939586.14</c:v>
                </c:pt>
                <c:pt idx="3">
                  <c:v>1304654.1800000002</c:v>
                </c:pt>
                <c:pt idx="4">
                  <c:v>1198172.4799999997</c:v>
                </c:pt>
                <c:pt idx="5">
                  <c:v>1612796.7000000002</c:v>
                </c:pt>
                <c:pt idx="6">
                  <c:v>1803214.7000000002</c:v>
                </c:pt>
                <c:pt idx="7">
                  <c:v>1876459.34</c:v>
                </c:pt>
                <c:pt idx="8">
                  <c:v>1001034.2399999999</c:v>
                </c:pt>
                <c:pt idx="9">
                  <c:v>2083196.8</c:v>
                </c:pt>
                <c:pt idx="10">
                  <c:v>2816819.08</c:v>
                </c:pt>
                <c:pt idx="11">
                  <c:v>2119960.0200000005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7E-49A9-8EF8-B3F60DFD464C}"/>
            </c:ext>
          </c:extLst>
        </c:ser>
        <c:ser>
          <c:idx val="1"/>
          <c:order val="1"/>
          <c:tx>
            <c:strRef>
              <c:f>'GLK Fixed Net MRC Trend'!$C$2</c:f>
              <c:strCache>
                <c:ptCount val="1"/>
                <c:pt idx="0">
                  <c:v>2026 Fixed Net MRC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4.0975209997951241E-2"/>
                  <c:y val="-8.5744908896034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B7E-49A9-8EF8-B3F60DFD464C}"/>
                </c:ext>
              </c:extLst>
            </c:dLbl>
            <c:dLbl>
              <c:idx val="5"/>
              <c:layout>
                <c:manualLayout>
                  <c:x val="-2.663388649866838E-2"/>
                  <c:y val="-8.93176134333691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B7E-49A9-8EF8-B3F60DFD46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'GLK Fixed Net MRC Trend'!$A$3:$A$14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'GLK Fixed Net MRC Trend'!$C$3:$C$14</c:f>
              <c:numCache>
                <c:formatCode>_(* #,##0_);_(* \(#,##0\);_(* "-"??_);_(@_)</c:formatCode>
                <c:ptCount val="12"/>
                <c:pt idx="0">
                  <c:v>2700518.3</c:v>
                </c:pt>
                <c:pt idx="1">
                  <c:v>3065595.4800000004</c:v>
                </c:pt>
                <c:pt idx="2">
                  <c:v>820152.9600000002</c:v>
                </c:pt>
                <c:pt idx="3">
                  <c:v>2363395.5000000005</c:v>
                </c:pt>
                <c:pt idx="4">
                  <c:v>3263065.84</c:v>
                </c:pt>
                <c:pt idx="5">
                  <c:v>1669362.2999999998</c:v>
                </c:pt>
                <c:pt idx="6">
                  <c:v>2318321.2200000002</c:v>
                </c:pt>
                <c:pt idx="7">
                  <c:v>3171282.0600000005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7E-49A9-8EF8-B3F60DFD464C}"/>
            </c:ext>
          </c:extLst>
        </c:ser>
        <c:ser>
          <c:idx val="2"/>
          <c:order val="2"/>
          <c:tx>
            <c:strRef>
              <c:f>'GLK Fixed Net MRC Trend'!$D$2</c:f>
              <c:strCache>
                <c:ptCount val="1"/>
                <c:pt idx="0">
                  <c:v>Forecast - Most Likely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0.12907191149354641"/>
                  <c:y val="3.068661296509397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7E-49A9-8EF8-B3F60DFD46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'GLK Fixed Net MRC Trend'!$A$3:$A$14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'GLK Fixed Net MRC Trend'!$D$3:$D$14</c:f>
              <c:numCache>
                <c:formatCode>General</c:formatCode>
                <c:ptCount val="12"/>
                <c:pt idx="7" formatCode="_(* #,##0_);_(* \(#,##0\);_(* &quot;-&quot;??_);_(@_)">
                  <c:v>3171282.0600000005</c:v>
                </c:pt>
                <c:pt idx="8" formatCode="_(* #,##0_);_(* \(#,##0\);_(* &quot;-&quot;??_);_(@_)">
                  <c:v>610396.71999999881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7E-49A9-8EF8-B3F60DFD464C}"/>
            </c:ext>
          </c:extLst>
        </c:ser>
        <c:ser>
          <c:idx val="3"/>
          <c:order val="3"/>
          <c:tx>
            <c:strRef>
              <c:f>'GLK Fixed Net MRC Trend'!$E$2</c:f>
              <c:strCache>
                <c:ptCount val="1"/>
                <c:pt idx="0">
                  <c:v>Forecast - Upside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3.4828928498258555E-2"/>
                  <c:y val="-6.1373225930187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05-460E-92A4-6A507ED017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'GLK Fixed Net MRC Trend'!$A$3:$A$14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'GLK Fixed Net MRC Trend'!$E$3:$E$14</c:f>
              <c:numCache>
                <c:formatCode>General</c:formatCode>
                <c:ptCount val="12"/>
                <c:pt idx="7" formatCode="_(* #,##0_);_(* \(#,##0\);_(* &quot;-&quot;??_);_(@_)">
                  <c:v>3171282.0600000005</c:v>
                </c:pt>
                <c:pt idx="8" formatCode="_(* #,##0_);_(* \(#,##0\);_(* &quot;-&quot;??_);_(@_)">
                  <c:v>1320396.7199999988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7E-49A9-8EF8-B3F60DFD4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446816"/>
        <c:axId val="879447232"/>
      </c:lineChart>
      <c:catAx>
        <c:axId val="87944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47232"/>
        <c:crosses val="autoZero"/>
        <c:auto val="1"/>
        <c:lblAlgn val="ctr"/>
        <c:lblOffset val="100"/>
        <c:noMultiLvlLbl val="0"/>
      </c:catAx>
      <c:valAx>
        <c:axId val="879447232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MRC in Millions (AED)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4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image" Target="../media/image2.png"/><Relationship Id="rId15" Type="http://schemas.openxmlformats.org/officeDocument/2006/relationships/chart" Target="../charts/chart13.xml"/><Relationship Id="rId10" Type="http://schemas.openxmlformats.org/officeDocument/2006/relationships/chart" Target="../charts/chart8.xml"/><Relationship Id="rId4" Type="http://schemas.openxmlformats.org/officeDocument/2006/relationships/image" Target="../media/image1.png"/><Relationship Id="rId9" Type="http://schemas.openxmlformats.org/officeDocument/2006/relationships/chart" Target="../charts/chart7.xml"/><Relationship Id="rId14" Type="http://schemas.openxmlformats.org/officeDocument/2006/relationships/chart" Target="../charts/chart1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5079</xdr:colOff>
      <xdr:row>4</xdr:row>
      <xdr:rowOff>266700</xdr:rowOff>
    </xdr:from>
    <xdr:to>
      <xdr:col>26</xdr:col>
      <xdr:colOff>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39F047-3D80-4443-AA08-4BCE67CCE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0</xdr:colOff>
      <xdr:row>5</xdr:row>
      <xdr:rowOff>0</xdr:rowOff>
    </xdr:from>
    <xdr:to>
      <xdr:col>42</xdr:col>
      <xdr:colOff>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89A8E7-8648-4E44-B701-25CE36ED2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</xdr:row>
      <xdr:rowOff>0</xdr:rowOff>
    </xdr:from>
    <xdr:to>
      <xdr:col>11</xdr:col>
      <xdr:colOff>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99C114-C504-48B7-8F78-4A7ACA14C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489857</xdr:colOff>
      <xdr:row>14</xdr:row>
      <xdr:rowOff>50800</xdr:rowOff>
    </xdr:from>
    <xdr:to>
      <xdr:col>24</xdr:col>
      <xdr:colOff>166023</xdr:colOff>
      <xdr:row>15</xdr:row>
      <xdr:rowOff>6369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DD6AC8-8B05-43C2-8A08-B5C890F10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19077" y="2915920"/>
          <a:ext cx="544846" cy="130829"/>
        </a:xfrm>
        <a:prstGeom prst="rect">
          <a:avLst/>
        </a:prstGeom>
      </xdr:spPr>
    </xdr:pic>
    <xdr:clientData/>
  </xdr:twoCellAnchor>
  <xdr:twoCellAnchor editAs="oneCell">
    <xdr:from>
      <xdr:col>24</xdr:col>
      <xdr:colOff>823686</xdr:colOff>
      <xdr:row>14</xdr:row>
      <xdr:rowOff>3628</xdr:rowOff>
    </xdr:from>
    <xdr:to>
      <xdr:col>24</xdr:col>
      <xdr:colOff>1100499</xdr:colOff>
      <xdr:row>15</xdr:row>
      <xdr:rowOff>10457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2A90227-CAC2-4024-A541-61B07691F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21586" y="2868748"/>
          <a:ext cx="276813" cy="18208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5</xdr:row>
      <xdr:rowOff>0</xdr:rowOff>
    </xdr:from>
    <xdr:to>
      <xdr:col>16</xdr:col>
      <xdr:colOff>12700</xdr:colOff>
      <xdr:row>16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D6F7D5-B97A-4D34-BB6A-62AACEF31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5</xdr:row>
      <xdr:rowOff>0</xdr:rowOff>
    </xdr:from>
    <xdr:to>
      <xdr:col>21</xdr:col>
      <xdr:colOff>0</xdr:colOff>
      <xdr:row>16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59802D-026D-4287-8C81-1775CB13E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0</xdr:colOff>
      <xdr:row>5</xdr:row>
      <xdr:rowOff>0</xdr:rowOff>
    </xdr:from>
    <xdr:to>
      <xdr:col>44</xdr:col>
      <xdr:colOff>698500</xdr:colOff>
      <xdr:row>16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62716A-E7B6-48D7-A803-4756FE635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45</xdr:col>
      <xdr:colOff>0</xdr:colOff>
      <xdr:row>5</xdr:row>
      <xdr:rowOff>0</xdr:rowOff>
    </xdr:from>
    <xdr:to>
      <xdr:col>48</xdr:col>
      <xdr:colOff>0</xdr:colOff>
      <xdr:row>16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2B6C1B7-C0B5-41E4-A1B3-5DA2260F5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48</xdr:col>
      <xdr:colOff>0</xdr:colOff>
      <xdr:row>5</xdr:row>
      <xdr:rowOff>0</xdr:rowOff>
    </xdr:from>
    <xdr:to>
      <xdr:col>50</xdr:col>
      <xdr:colOff>609600</xdr:colOff>
      <xdr:row>16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0532E58-A508-4A0B-AD9A-2B147C738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51</xdr:col>
      <xdr:colOff>0</xdr:colOff>
      <xdr:row>5</xdr:row>
      <xdr:rowOff>0</xdr:rowOff>
    </xdr:from>
    <xdr:to>
      <xdr:col>54</xdr:col>
      <xdr:colOff>0</xdr:colOff>
      <xdr:row>16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2B43D5F-DDE4-44E9-9611-D0F3430A6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54</xdr:col>
      <xdr:colOff>0</xdr:colOff>
      <xdr:row>5</xdr:row>
      <xdr:rowOff>0</xdr:rowOff>
    </xdr:from>
    <xdr:to>
      <xdr:col>57</xdr:col>
      <xdr:colOff>0</xdr:colOff>
      <xdr:row>16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00F5924-5EE6-45B0-8982-D07F4F9E0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57</xdr:col>
      <xdr:colOff>0</xdr:colOff>
      <xdr:row>5</xdr:row>
      <xdr:rowOff>0</xdr:rowOff>
    </xdr:from>
    <xdr:to>
      <xdr:col>60</xdr:col>
      <xdr:colOff>0</xdr:colOff>
      <xdr:row>16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3055A79-ED91-472C-B24E-BCA00E67C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60</xdr:col>
      <xdr:colOff>0</xdr:colOff>
      <xdr:row>5</xdr:row>
      <xdr:rowOff>0</xdr:rowOff>
    </xdr:from>
    <xdr:to>
      <xdr:col>63</xdr:col>
      <xdr:colOff>0</xdr:colOff>
      <xdr:row>16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79CFFF3-EEBA-4FF7-8DB7-96D05A289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5</xdr:row>
      <xdr:rowOff>0</xdr:rowOff>
    </xdr:from>
    <xdr:to>
      <xdr:col>6</xdr:col>
      <xdr:colOff>0</xdr:colOff>
      <xdr:row>16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EB97BE0-B5F6-4BC4-A862-89655AB345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0.32418</cdr:x>
      <cdr:y>0.87043</cdr:y>
    </cdr:from>
    <cdr:to>
      <cdr:x>0.44259</cdr:x>
      <cdr:y>0.93149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498600" y="19013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0.78925</cdr:x>
      <cdr:y>0.86047</cdr:y>
    </cdr:from>
    <cdr:to>
      <cdr:x>0.88484</cdr:x>
      <cdr:y>0.94499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648529" y="18796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0.32418</cdr:x>
      <cdr:y>0.87043</cdr:y>
    </cdr:from>
    <cdr:to>
      <cdr:x>0.44259</cdr:x>
      <cdr:y>0.93149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498600" y="19013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0.78925</cdr:x>
      <cdr:y>0.86047</cdr:y>
    </cdr:from>
    <cdr:to>
      <cdr:x>0.88484</cdr:x>
      <cdr:y>0.94499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648529" y="18796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0.29191</cdr:x>
      <cdr:y>0.85299</cdr:y>
    </cdr:from>
    <cdr:to>
      <cdr:x>0.41648</cdr:x>
      <cdr:y>0.91405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282700" y="18632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0.78117</cdr:x>
      <cdr:y>0.84302</cdr:y>
    </cdr:from>
    <cdr:to>
      <cdr:x>0.88174</cdr:x>
      <cdr:y>0.92754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432629" y="18415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0.30312</cdr:x>
      <cdr:y>0.86462</cdr:y>
    </cdr:from>
    <cdr:to>
      <cdr:x>0.42522</cdr:x>
      <cdr:y>0.92567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00000000-0008-0000-1100-000010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358900" y="18886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0.78268</cdr:x>
      <cdr:y>0.85465</cdr:y>
    </cdr:from>
    <cdr:to>
      <cdr:x>0.88125</cdr:x>
      <cdr:y>0.93917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00000000-0008-0000-1100-00001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508829" y="18669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0.32418</cdr:x>
      <cdr:y>0.87043</cdr:y>
    </cdr:from>
    <cdr:to>
      <cdr:x>0.44259</cdr:x>
      <cdr:y>0.93149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498600" y="19013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0.78925</cdr:x>
      <cdr:y>0.86047</cdr:y>
    </cdr:from>
    <cdr:to>
      <cdr:x>0.88484</cdr:x>
      <cdr:y>0.94499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648529" y="18796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1</xdr:row>
      <xdr:rowOff>125730</xdr:rowOff>
    </xdr:from>
    <xdr:to>
      <xdr:col>17</xdr:col>
      <xdr:colOff>518160</xdr:colOff>
      <xdr:row>25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D38A90-FC43-4720-894B-91B7D9749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5</xdr:row>
      <xdr:rowOff>87630</xdr:rowOff>
    </xdr:from>
    <xdr:to>
      <xdr:col>17</xdr:col>
      <xdr:colOff>662940</xdr:colOff>
      <xdr:row>24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E40BAD-9975-4569-A41D-72ED5BD4E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582930</xdr:colOff>
      <xdr:row>3</xdr:row>
      <xdr:rowOff>45720</xdr:rowOff>
    </xdr:from>
    <xdr:to>
      <xdr:col>18</xdr:col>
      <xdr:colOff>601980</xdr:colOff>
      <xdr:row>27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1C75AA-D892-47E7-96D1-C13ABD7E0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u%20Tasks\01_WorkCell_Daily\202606-WorkCell\202606-WorkCell%20Dashboard%20-%20Final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u%20Tasks\05_ESP_staff_commission_manual\2025_Q2_esp_staff_commission_manu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NT"/>
      <sheetName val="LE"/>
      <sheetName val="KEY-B"/>
      <sheetName val="KEY-A"/>
      <sheetName val="GLK"/>
      <sheetName val="AUH"/>
      <sheetName val="DXB"/>
      <sheetName val="F-NE"/>
      <sheetName val="NBI"/>
      <sheetName val="GLK-Lead-Directors"/>
      <sheetName val="LE (2)"/>
      <sheetName val="Gov (2)"/>
      <sheetName val="SMS Mgmt"/>
      <sheetName val="Staff Weight"/>
      <sheetName val="_Calc Excel SMS Mgmt"/>
      <sheetName val="Channel Budget"/>
      <sheetName val="KPIs"/>
      <sheetName val="Refresh Data &amp; Send Email"/>
      <sheetName val="Staff Targets"/>
      <sheetName val="Rev"/>
      <sheetName val="DDOS_Target"/>
      <sheetName val="Sheet1"/>
      <sheetName val="Activation Churn Data"/>
      <sheetName val="Fixed Net MRC Data"/>
      <sheetName val="DDOS"/>
      <sheetName val="GLK-Performance Qtr-1 "/>
      <sheetName val="Previous Months Details"/>
      <sheetName val="202606-WorkCell Dashboard - Fin"/>
    </sheetNames>
    <sheetDataSet>
      <sheetData sheetId="0">
        <row r="21">
          <cell r="G21">
            <v>46143</v>
          </cell>
          <cell r="H21">
            <v>46174</v>
          </cell>
          <cell r="I21" t="str">
            <v xml:space="preserve"> </v>
          </cell>
          <cell r="J21" t="str">
            <v>May-26 &amp; Jun-26</v>
          </cell>
          <cell r="L21">
            <v>46143</v>
          </cell>
          <cell r="M21">
            <v>46174</v>
          </cell>
          <cell r="N21" t="str">
            <v xml:space="preserve"> </v>
          </cell>
          <cell r="O21" t="str">
            <v>May-26 &amp; Jun-26</v>
          </cell>
          <cell r="Q21">
            <v>46143</v>
          </cell>
          <cell r="R21">
            <v>46174</v>
          </cell>
          <cell r="S21" t="str">
            <v xml:space="preserve"> </v>
          </cell>
          <cell r="T21" t="str">
            <v>May-26 &amp; Jun-26</v>
          </cell>
        </row>
      </sheetData>
      <sheetData sheetId="1"/>
      <sheetData sheetId="2">
        <row r="20">
          <cell r="G20" t="str">
            <v>Actual</v>
          </cell>
        </row>
      </sheetData>
      <sheetData sheetId="3"/>
      <sheetData sheetId="4">
        <row r="19">
          <cell r="B19" t="str">
            <v>Actual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9">
          <cell r="E19">
            <v>46204</v>
          </cell>
        </row>
      </sheetData>
      <sheetData sheetId="18">
        <row r="1">
          <cell r="A1" t="str">
            <v>Month</v>
          </cell>
          <cell r="B1" t="str">
            <v>Name</v>
          </cell>
          <cell r="E1" t="str">
            <v>Vertical</v>
          </cell>
          <cell r="F1" t="str">
            <v>Level</v>
          </cell>
          <cell r="G1" t="str">
            <v>Mobile Gross Adds</v>
          </cell>
          <cell r="H1" t="str">
            <v>Mobile Net Adds</v>
          </cell>
          <cell r="I1" t="str">
            <v>Fixed Net MRC</v>
          </cell>
          <cell r="J1" t="str">
            <v>Revenue</v>
          </cell>
          <cell r="K1" t="str">
            <v>du Tech DDoS</v>
          </cell>
          <cell r="L1" t="str">
            <v>Mobile Gross Adds2</v>
          </cell>
        </row>
        <row r="2">
          <cell r="A2">
            <v>44197</v>
          </cell>
          <cell r="B2" t="str">
            <v>Mohamad Amer Sibai</v>
          </cell>
          <cell r="E2" t="str">
            <v>DXB</v>
          </cell>
          <cell r="F2" t="str">
            <v>D</v>
          </cell>
          <cell r="I2">
            <v>200000</v>
          </cell>
          <cell r="L2">
            <v>1684.8034999999998</v>
          </cell>
        </row>
        <row r="3">
          <cell r="A3">
            <v>44197</v>
          </cell>
          <cell r="B3" t="str">
            <v>Mohamed Mady</v>
          </cell>
          <cell r="E3" t="str">
            <v>DXB</v>
          </cell>
          <cell r="F3" t="str">
            <v>AM</v>
          </cell>
          <cell r="I3">
            <v>50000</v>
          </cell>
          <cell r="L3">
            <v>320.44402821247786</v>
          </cell>
        </row>
        <row r="4">
          <cell r="A4">
            <v>44197</v>
          </cell>
          <cell r="B4" t="str">
            <v>Muhannad Allow</v>
          </cell>
          <cell r="E4" t="str">
            <v>DXB</v>
          </cell>
          <cell r="F4" t="str">
            <v>AM</v>
          </cell>
          <cell r="I4">
            <v>0</v>
          </cell>
          <cell r="L4">
            <v>0</v>
          </cell>
        </row>
        <row r="5">
          <cell r="A5">
            <v>44197</v>
          </cell>
          <cell r="B5" t="str">
            <v>Ramzi Gholmieh</v>
          </cell>
          <cell r="E5" t="str">
            <v>DXB</v>
          </cell>
          <cell r="F5" t="str">
            <v>AM</v>
          </cell>
          <cell r="I5">
            <v>50000</v>
          </cell>
          <cell r="L5">
            <v>455</v>
          </cell>
        </row>
        <row r="6">
          <cell r="A6">
            <v>44197</v>
          </cell>
          <cell r="B6" t="str">
            <v>Saleh Barami</v>
          </cell>
          <cell r="E6" t="str">
            <v>DXB</v>
          </cell>
          <cell r="F6" t="str">
            <v>AM</v>
          </cell>
          <cell r="I6">
            <v>50000</v>
          </cell>
          <cell r="L6">
            <v>455</v>
          </cell>
        </row>
        <row r="7">
          <cell r="A7">
            <v>44197</v>
          </cell>
          <cell r="B7" t="str">
            <v>Talal Ahmed Ali Alsharhan</v>
          </cell>
          <cell r="E7" t="str">
            <v>DXB</v>
          </cell>
          <cell r="F7" t="str">
            <v>AM</v>
          </cell>
          <cell r="I7">
            <v>50000</v>
          </cell>
          <cell r="L7">
            <v>455</v>
          </cell>
        </row>
        <row r="8">
          <cell r="A8">
            <v>44197</v>
          </cell>
          <cell r="B8" t="str">
            <v>Khaled Alawadi</v>
          </cell>
          <cell r="E8" t="str">
            <v>F-NE</v>
          </cell>
          <cell r="F8" t="str">
            <v>D</v>
          </cell>
          <cell r="I8">
            <v>258958</v>
          </cell>
          <cell r="L8">
            <v>2527.2052499999995</v>
          </cell>
        </row>
        <row r="9">
          <cell r="A9">
            <v>44197</v>
          </cell>
          <cell r="B9" t="str">
            <v>Bader Al Shehhi</v>
          </cell>
          <cell r="E9" t="str">
            <v>F-NE</v>
          </cell>
          <cell r="F9" t="str">
            <v>AM</v>
          </cell>
          <cell r="I9">
            <v>8000</v>
          </cell>
          <cell r="L9">
            <v>480</v>
          </cell>
        </row>
        <row r="10">
          <cell r="A10">
            <v>44197</v>
          </cell>
          <cell r="B10" t="str">
            <v>Majd Nairoukh</v>
          </cell>
          <cell r="E10" t="str">
            <v>F-NE</v>
          </cell>
          <cell r="F10" t="str">
            <v>AM</v>
          </cell>
          <cell r="I10">
            <v>206000</v>
          </cell>
          <cell r="L10">
            <v>1000</v>
          </cell>
        </row>
        <row r="11">
          <cell r="A11">
            <v>44197</v>
          </cell>
          <cell r="B11" t="str">
            <v>Nader AlMustafa</v>
          </cell>
          <cell r="E11" t="str">
            <v>F-NE</v>
          </cell>
          <cell r="F11" t="str">
            <v>AM</v>
          </cell>
          <cell r="I11">
            <v>10000</v>
          </cell>
          <cell r="L11">
            <v>417</v>
          </cell>
        </row>
        <row r="12">
          <cell r="A12">
            <v>44197</v>
          </cell>
          <cell r="B12" t="str">
            <v>Tariq AlAwadhi</v>
          </cell>
          <cell r="E12" t="str">
            <v>F-NE</v>
          </cell>
          <cell r="F12" t="str">
            <v>AM</v>
          </cell>
          <cell r="I12">
            <v>4000</v>
          </cell>
          <cell r="L12">
            <v>50</v>
          </cell>
        </row>
        <row r="13">
          <cell r="A13">
            <v>44197</v>
          </cell>
          <cell r="B13" t="str">
            <v>Yousef Al Baloushi</v>
          </cell>
          <cell r="E13" t="str">
            <v>F-NE</v>
          </cell>
          <cell r="F13" t="str">
            <v>AM</v>
          </cell>
          <cell r="I13">
            <v>30958</v>
          </cell>
          <cell r="L13">
            <v>580</v>
          </cell>
        </row>
        <row r="14">
          <cell r="A14">
            <v>44197</v>
          </cell>
          <cell r="B14" t="str">
            <v>Khalid Karmastaji</v>
          </cell>
          <cell r="E14" t="str">
            <v>KA-AUH</v>
          </cell>
          <cell r="F14" t="str">
            <v>D</v>
          </cell>
          <cell r="I14">
            <v>350000</v>
          </cell>
          <cell r="L14">
            <v>2527.2052499999995</v>
          </cell>
        </row>
        <row r="15">
          <cell r="A15">
            <v>44197</v>
          </cell>
          <cell r="B15" t="str">
            <v>Ammar Alqudsi</v>
          </cell>
          <cell r="E15" t="str">
            <v>KA-AUH</v>
          </cell>
          <cell r="F15" t="str">
            <v>AM</v>
          </cell>
          <cell r="I15">
            <v>55000</v>
          </cell>
          <cell r="L15">
            <v>400</v>
          </cell>
        </row>
        <row r="16">
          <cell r="A16">
            <v>44197</v>
          </cell>
          <cell r="B16" t="str">
            <v>Fadi Murad</v>
          </cell>
          <cell r="E16" t="str">
            <v>KA-AUH</v>
          </cell>
          <cell r="F16" t="str">
            <v>AM</v>
          </cell>
          <cell r="I16">
            <v>45000</v>
          </cell>
          <cell r="L16">
            <v>300</v>
          </cell>
        </row>
        <row r="17">
          <cell r="A17">
            <v>44197</v>
          </cell>
          <cell r="B17" t="str">
            <v>Haifa Alawi</v>
          </cell>
          <cell r="E17" t="str">
            <v>KA-AUH</v>
          </cell>
          <cell r="F17" t="str">
            <v>AM</v>
          </cell>
          <cell r="I17">
            <v>45000</v>
          </cell>
          <cell r="L17">
            <v>300</v>
          </cell>
        </row>
        <row r="18">
          <cell r="A18">
            <v>44197</v>
          </cell>
          <cell r="B18" t="str">
            <v>Meera Alhosani</v>
          </cell>
          <cell r="E18" t="str">
            <v>KA-AUH</v>
          </cell>
          <cell r="F18" t="str">
            <v>AM</v>
          </cell>
          <cell r="I18">
            <v>45000</v>
          </cell>
          <cell r="L18">
            <v>300</v>
          </cell>
        </row>
        <row r="19">
          <cell r="A19">
            <v>44197</v>
          </cell>
          <cell r="B19" t="str">
            <v>Osman Basuleman</v>
          </cell>
          <cell r="E19" t="str">
            <v>KA-AUH</v>
          </cell>
          <cell r="F19" t="str">
            <v>AM</v>
          </cell>
          <cell r="I19">
            <v>55000</v>
          </cell>
          <cell r="L19">
            <v>400</v>
          </cell>
        </row>
        <row r="20">
          <cell r="A20">
            <v>44197</v>
          </cell>
          <cell r="B20" t="str">
            <v>Tamer AlMahameed</v>
          </cell>
          <cell r="E20" t="str">
            <v>KA-AUH</v>
          </cell>
          <cell r="F20" t="str">
            <v>AM</v>
          </cell>
          <cell r="I20">
            <v>50000</v>
          </cell>
          <cell r="L20">
            <v>414</v>
          </cell>
        </row>
        <row r="21">
          <cell r="A21">
            <v>44197</v>
          </cell>
          <cell r="B21" t="str">
            <v>Tarek Solh</v>
          </cell>
          <cell r="E21" t="str">
            <v>KA-AUH</v>
          </cell>
          <cell r="F21" t="str">
            <v>AM</v>
          </cell>
          <cell r="I21">
            <v>55000</v>
          </cell>
          <cell r="L21">
            <v>413</v>
          </cell>
        </row>
        <row r="22">
          <cell r="A22">
            <v>44197</v>
          </cell>
          <cell r="B22" t="str">
            <v>Mazen Adem</v>
          </cell>
          <cell r="E22" t="str">
            <v>KA</v>
          </cell>
          <cell r="F22" t="str">
            <v>D</v>
          </cell>
          <cell r="I22">
            <v>200000</v>
          </cell>
          <cell r="L22">
            <v>1685</v>
          </cell>
        </row>
        <row r="23">
          <cell r="A23">
            <v>44197</v>
          </cell>
          <cell r="B23" t="str">
            <v>Abdel Azim Sharabati</v>
          </cell>
          <cell r="E23" t="str">
            <v>KA</v>
          </cell>
          <cell r="F23" t="str">
            <v>AM</v>
          </cell>
          <cell r="I23">
            <v>33333</v>
          </cell>
          <cell r="L23">
            <v>352</v>
          </cell>
        </row>
        <row r="24">
          <cell r="A24">
            <v>44197</v>
          </cell>
          <cell r="B24" t="str">
            <v>Abraham Cherian</v>
          </cell>
          <cell r="E24" t="str">
            <v>KA</v>
          </cell>
          <cell r="F24" t="str">
            <v>AM</v>
          </cell>
          <cell r="I24">
            <v>33333</v>
          </cell>
          <cell r="L24">
            <v>198</v>
          </cell>
        </row>
        <row r="25">
          <cell r="A25">
            <v>44197</v>
          </cell>
          <cell r="B25" t="str">
            <v>Arjun Subaraman</v>
          </cell>
          <cell r="E25" t="str">
            <v>KA</v>
          </cell>
          <cell r="F25" t="str">
            <v>AM</v>
          </cell>
          <cell r="I25">
            <v>33333</v>
          </cell>
          <cell r="L25">
            <v>198</v>
          </cell>
        </row>
        <row r="26">
          <cell r="A26">
            <v>44197</v>
          </cell>
          <cell r="B26" t="str">
            <v>Ghassan Fouany</v>
          </cell>
          <cell r="E26" t="str">
            <v>KA</v>
          </cell>
          <cell r="F26" t="str">
            <v>AM</v>
          </cell>
          <cell r="I26">
            <v>33333</v>
          </cell>
          <cell r="L26">
            <v>443</v>
          </cell>
        </row>
        <row r="27">
          <cell r="A27">
            <v>44197</v>
          </cell>
          <cell r="B27" t="str">
            <v>Inayat Fazili</v>
          </cell>
          <cell r="E27" t="str">
            <v>KA</v>
          </cell>
          <cell r="F27" t="str">
            <v>AM</v>
          </cell>
          <cell r="I27">
            <v>33333</v>
          </cell>
          <cell r="L27">
            <v>295</v>
          </cell>
        </row>
        <row r="28">
          <cell r="A28">
            <v>44197</v>
          </cell>
          <cell r="B28" t="str">
            <v>Khawla Almansoori</v>
          </cell>
          <cell r="E28" t="str">
            <v>KA</v>
          </cell>
          <cell r="F28" t="str">
            <v>AM</v>
          </cell>
          <cell r="I28">
            <v>33333</v>
          </cell>
          <cell r="L28">
            <v>198</v>
          </cell>
        </row>
        <row r="29">
          <cell r="A29">
            <v>44197</v>
          </cell>
          <cell r="B29" t="str">
            <v>Hamzah Nofal</v>
          </cell>
          <cell r="E29" t="str">
            <v>RCOGM</v>
          </cell>
          <cell r="F29" t="str">
            <v>D</v>
          </cell>
          <cell r="H29">
            <v>899.79884700212938</v>
          </cell>
          <cell r="I29">
            <v>198000</v>
          </cell>
        </row>
        <row r="30">
          <cell r="A30">
            <v>44197</v>
          </cell>
          <cell r="B30" t="str">
            <v>Ali Alzarooni</v>
          </cell>
          <cell r="E30" t="str">
            <v>RCOGM</v>
          </cell>
          <cell r="F30" t="str">
            <v>AM</v>
          </cell>
          <cell r="H30">
            <v>85</v>
          </cell>
          <cell r="I30">
            <v>15000</v>
          </cell>
        </row>
        <row r="31">
          <cell r="A31">
            <v>44197</v>
          </cell>
          <cell r="B31" t="str">
            <v>Ali Shahin</v>
          </cell>
          <cell r="E31" t="str">
            <v>RCOGM</v>
          </cell>
          <cell r="F31" t="str">
            <v>AM</v>
          </cell>
          <cell r="H31">
            <v>120</v>
          </cell>
          <cell r="I31">
            <v>20000</v>
          </cell>
        </row>
        <row r="32">
          <cell r="A32">
            <v>44197</v>
          </cell>
          <cell r="B32" t="str">
            <v>Meerza Ramjeed</v>
          </cell>
          <cell r="E32" t="str">
            <v>RCOGM</v>
          </cell>
          <cell r="F32" t="str">
            <v>AM</v>
          </cell>
          <cell r="H32">
            <v>30</v>
          </cell>
          <cell r="I32">
            <v>35000</v>
          </cell>
        </row>
        <row r="33">
          <cell r="A33">
            <v>44197</v>
          </cell>
          <cell r="B33" t="str">
            <v>Mohamad Labban</v>
          </cell>
          <cell r="E33" t="str">
            <v>RCOGM</v>
          </cell>
          <cell r="F33" t="str">
            <v>AM</v>
          </cell>
          <cell r="H33">
            <v>120</v>
          </cell>
          <cell r="I33">
            <v>20000</v>
          </cell>
        </row>
        <row r="34">
          <cell r="A34">
            <v>44197</v>
          </cell>
          <cell r="B34" t="str">
            <v>Mohamed Kishk</v>
          </cell>
          <cell r="E34" t="str">
            <v>RCOGM</v>
          </cell>
          <cell r="F34" t="str">
            <v>AM</v>
          </cell>
          <cell r="H34">
            <v>85</v>
          </cell>
          <cell r="I34">
            <v>15000</v>
          </cell>
        </row>
        <row r="35">
          <cell r="A35">
            <v>44197</v>
          </cell>
          <cell r="B35" t="str">
            <v>Mohd Sheikh Salem</v>
          </cell>
          <cell r="E35" t="str">
            <v>RCOGM</v>
          </cell>
          <cell r="F35" t="str">
            <v>AM</v>
          </cell>
          <cell r="H35">
            <v>120</v>
          </cell>
          <cell r="I35">
            <v>20000</v>
          </cell>
        </row>
        <row r="36">
          <cell r="A36">
            <v>44197</v>
          </cell>
          <cell r="B36" t="str">
            <v>Ninette Hajjar</v>
          </cell>
          <cell r="E36" t="str">
            <v>RCOGM</v>
          </cell>
          <cell r="F36" t="str">
            <v>AM</v>
          </cell>
          <cell r="H36">
            <v>70</v>
          </cell>
          <cell r="I36">
            <v>45000</v>
          </cell>
        </row>
        <row r="37">
          <cell r="A37">
            <v>44197</v>
          </cell>
          <cell r="B37" t="str">
            <v>Ram Arya</v>
          </cell>
          <cell r="E37" t="str">
            <v>RCOGM</v>
          </cell>
          <cell r="F37" t="str">
            <v>AM</v>
          </cell>
          <cell r="H37">
            <v>85</v>
          </cell>
          <cell r="I37">
            <v>10000</v>
          </cell>
        </row>
        <row r="38">
          <cell r="A38">
            <v>44197</v>
          </cell>
          <cell r="B38" t="str">
            <v>Sana Shaikh</v>
          </cell>
          <cell r="E38" t="str">
            <v>RCOGM</v>
          </cell>
          <cell r="F38" t="str">
            <v>AM</v>
          </cell>
          <cell r="H38">
            <v>55</v>
          </cell>
          <cell r="I38">
            <v>6000</v>
          </cell>
        </row>
        <row r="39">
          <cell r="A39">
            <v>44197</v>
          </cell>
          <cell r="B39" t="str">
            <v>Shabbir Lacewala</v>
          </cell>
          <cell r="E39" t="str">
            <v>RCOGM</v>
          </cell>
          <cell r="F39" t="str">
            <v>AM</v>
          </cell>
          <cell r="H39">
            <v>70</v>
          </cell>
          <cell r="I39">
            <v>45000</v>
          </cell>
        </row>
        <row r="40">
          <cell r="A40">
            <v>44197</v>
          </cell>
          <cell r="B40" t="str">
            <v>Shadab Sheikh</v>
          </cell>
          <cell r="E40" t="str">
            <v>RCOGM</v>
          </cell>
          <cell r="F40" t="str">
            <v>AM</v>
          </cell>
          <cell r="H40">
            <v>55</v>
          </cell>
          <cell r="I40">
            <v>6000</v>
          </cell>
        </row>
        <row r="41">
          <cell r="A41">
            <v>44197</v>
          </cell>
          <cell r="B41" t="str">
            <v>Syed Atif</v>
          </cell>
          <cell r="E41" t="str">
            <v>RCOGM</v>
          </cell>
          <cell r="F41" t="str">
            <v>AM</v>
          </cell>
          <cell r="H41">
            <v>55</v>
          </cell>
          <cell r="I41">
            <v>6000</v>
          </cell>
        </row>
        <row r="42">
          <cell r="A42">
            <v>44197</v>
          </cell>
          <cell r="B42" t="str">
            <v>Vandana Dubey</v>
          </cell>
          <cell r="E42" t="str">
            <v>RCOGM</v>
          </cell>
          <cell r="F42" t="str">
            <v>AM</v>
          </cell>
          <cell r="H42">
            <v>85</v>
          </cell>
          <cell r="I42">
            <v>15000</v>
          </cell>
        </row>
        <row r="43">
          <cell r="A43">
            <v>44197</v>
          </cell>
          <cell r="B43" t="str">
            <v>Vineeth Augustine</v>
          </cell>
          <cell r="E43" t="str">
            <v>RCOGM</v>
          </cell>
          <cell r="F43" t="str">
            <v>AM</v>
          </cell>
          <cell r="H43">
            <v>85</v>
          </cell>
          <cell r="I43">
            <v>15000</v>
          </cell>
        </row>
        <row r="44">
          <cell r="A44">
            <v>44197</v>
          </cell>
          <cell r="B44" t="str">
            <v>Hany Jawee</v>
          </cell>
          <cell r="E44" t="str">
            <v>FCR</v>
          </cell>
          <cell r="F44" t="str">
            <v>D</v>
          </cell>
          <cell r="H44">
            <v>1625</v>
          </cell>
          <cell r="I44">
            <v>316000</v>
          </cell>
        </row>
        <row r="45">
          <cell r="A45">
            <v>44197</v>
          </cell>
          <cell r="B45" t="str">
            <v>Amjad Ilwan</v>
          </cell>
          <cell r="E45" t="str">
            <v>FCR</v>
          </cell>
          <cell r="F45" t="str">
            <v>AM</v>
          </cell>
          <cell r="H45">
            <v>190</v>
          </cell>
          <cell r="I45">
            <v>18166.666666666701</v>
          </cell>
        </row>
        <row r="46">
          <cell r="A46">
            <v>44197</v>
          </cell>
          <cell r="B46" t="str">
            <v>Eslam Hassan</v>
          </cell>
          <cell r="E46" t="str">
            <v>FCR</v>
          </cell>
          <cell r="F46" t="str">
            <v>AM</v>
          </cell>
          <cell r="H46">
            <v>81.5</v>
          </cell>
          <cell r="I46">
            <v>23166.666666666701</v>
          </cell>
        </row>
        <row r="47">
          <cell r="A47">
            <v>44197</v>
          </cell>
          <cell r="B47" t="str">
            <v>Mansi Trivedi</v>
          </cell>
          <cell r="E47" t="str">
            <v>FCR</v>
          </cell>
          <cell r="F47" t="str">
            <v>AM</v>
          </cell>
          <cell r="H47">
            <v>56.5</v>
          </cell>
          <cell r="I47">
            <v>17166.666666666701</v>
          </cell>
        </row>
        <row r="48">
          <cell r="A48">
            <v>44197</v>
          </cell>
          <cell r="B48" t="str">
            <v>Mohamed Mostafa</v>
          </cell>
          <cell r="E48" t="str">
            <v>FCR</v>
          </cell>
          <cell r="F48" t="str">
            <v>AM</v>
          </cell>
          <cell r="H48">
            <v>81.5</v>
          </cell>
          <cell r="I48">
            <v>20166.666666666701</v>
          </cell>
        </row>
        <row r="49">
          <cell r="A49">
            <v>44197</v>
          </cell>
          <cell r="B49" t="str">
            <v>Mohamed Reda</v>
          </cell>
          <cell r="E49" t="str">
            <v>FCR</v>
          </cell>
          <cell r="F49" t="str">
            <v>AM</v>
          </cell>
          <cell r="H49">
            <v>131.5</v>
          </cell>
          <cell r="I49">
            <v>37166.666666666701</v>
          </cell>
        </row>
        <row r="50">
          <cell r="A50">
            <v>44197</v>
          </cell>
          <cell r="B50" t="str">
            <v>Nadeem Rasheed</v>
          </cell>
          <cell r="E50" t="str">
            <v>FCR</v>
          </cell>
          <cell r="F50" t="str">
            <v>AM</v>
          </cell>
          <cell r="H50">
            <v>131.5</v>
          </cell>
          <cell r="I50">
            <v>23166.666666666701</v>
          </cell>
        </row>
        <row r="51">
          <cell r="A51">
            <v>44197</v>
          </cell>
          <cell r="B51" t="str">
            <v>Othman Hassan</v>
          </cell>
          <cell r="E51" t="str">
            <v>FCR</v>
          </cell>
          <cell r="F51" t="str">
            <v>AM</v>
          </cell>
          <cell r="H51">
            <v>81.5</v>
          </cell>
          <cell r="I51">
            <v>20166.666666666701</v>
          </cell>
        </row>
        <row r="52">
          <cell r="A52">
            <v>44197</v>
          </cell>
          <cell r="B52" t="str">
            <v>Rahul Raina</v>
          </cell>
          <cell r="E52" t="str">
            <v>FCR</v>
          </cell>
          <cell r="F52" t="str">
            <v>AM</v>
          </cell>
          <cell r="H52">
            <v>131.5</v>
          </cell>
          <cell r="I52">
            <v>23166.666666666701</v>
          </cell>
        </row>
        <row r="53">
          <cell r="A53">
            <v>44197</v>
          </cell>
          <cell r="B53" t="str">
            <v>Ranjith Chandran</v>
          </cell>
          <cell r="E53" t="str">
            <v>FCR</v>
          </cell>
          <cell r="F53" t="str">
            <v>AM</v>
          </cell>
          <cell r="H53">
            <v>56.5</v>
          </cell>
          <cell r="I53">
            <v>17166.666666666701</v>
          </cell>
        </row>
        <row r="54">
          <cell r="A54">
            <v>44197</v>
          </cell>
          <cell r="B54" t="str">
            <v>Richard Chandy</v>
          </cell>
          <cell r="E54" t="str">
            <v>FCR</v>
          </cell>
          <cell r="F54" t="str">
            <v>AM</v>
          </cell>
          <cell r="H54">
            <v>345</v>
          </cell>
          <cell r="I54">
            <v>17166.666666666701</v>
          </cell>
        </row>
        <row r="55">
          <cell r="A55">
            <v>44197</v>
          </cell>
          <cell r="B55" t="str">
            <v>Rijith Menon</v>
          </cell>
          <cell r="E55" t="str">
            <v>FCR</v>
          </cell>
          <cell r="F55" t="str">
            <v>AM</v>
          </cell>
          <cell r="H55">
            <v>180</v>
          </cell>
          <cell r="I55">
            <v>23166.666666666701</v>
          </cell>
        </row>
        <row r="56">
          <cell r="A56">
            <v>44197</v>
          </cell>
          <cell r="B56" t="str">
            <v>Rima Al Safadi</v>
          </cell>
          <cell r="E56" t="str">
            <v>FCR</v>
          </cell>
          <cell r="F56" t="str">
            <v>AM</v>
          </cell>
          <cell r="H56">
            <v>81.5</v>
          </cell>
          <cell r="I56">
            <v>20166.666666666701</v>
          </cell>
        </row>
        <row r="57">
          <cell r="A57">
            <v>44197</v>
          </cell>
          <cell r="B57" t="str">
            <v>Salman Amir</v>
          </cell>
          <cell r="E57" t="str">
            <v>FCR</v>
          </cell>
          <cell r="F57" t="str">
            <v>AM</v>
          </cell>
          <cell r="H57">
            <v>46.5</v>
          </cell>
          <cell r="I57">
            <v>10166.666666666701</v>
          </cell>
        </row>
        <row r="58">
          <cell r="A58">
            <v>44197</v>
          </cell>
          <cell r="B58" t="str">
            <v>Simon Williams</v>
          </cell>
          <cell r="E58" t="str">
            <v>FCR</v>
          </cell>
          <cell r="F58" t="str">
            <v>AM</v>
          </cell>
          <cell r="H58">
            <v>131.5</v>
          </cell>
          <cell r="I58">
            <v>60166.666666666701</v>
          </cell>
        </row>
        <row r="59">
          <cell r="A59">
            <v>44197</v>
          </cell>
          <cell r="B59" t="str">
            <v>Usman Zafar Sipra</v>
          </cell>
          <cell r="E59" t="str">
            <v>FCR</v>
          </cell>
          <cell r="F59" t="str">
            <v>AM</v>
          </cell>
          <cell r="H59">
            <v>56.5</v>
          </cell>
          <cell r="I59">
            <v>17166.666666666701</v>
          </cell>
        </row>
        <row r="60">
          <cell r="A60">
            <v>44197</v>
          </cell>
          <cell r="B60" t="str">
            <v>Maitha Bin Malek</v>
          </cell>
          <cell r="E60" t="str">
            <v>HHTT</v>
          </cell>
          <cell r="F60" t="str">
            <v>D</v>
          </cell>
          <cell r="H60">
            <v>911</v>
          </cell>
          <cell r="I60">
            <v>217000</v>
          </cell>
        </row>
        <row r="61">
          <cell r="A61">
            <v>44197</v>
          </cell>
          <cell r="B61" t="str">
            <v>Abdelouahab Belamri</v>
          </cell>
          <cell r="E61" t="str">
            <v>HHTT</v>
          </cell>
          <cell r="F61" t="str">
            <v>AM</v>
          </cell>
          <cell r="H61">
            <v>50</v>
          </cell>
          <cell r="I61">
            <v>17137</v>
          </cell>
        </row>
        <row r="62">
          <cell r="A62">
            <v>44197</v>
          </cell>
          <cell r="B62" t="str">
            <v>Bashar Al Adilee</v>
          </cell>
          <cell r="E62" t="str">
            <v>HHTT</v>
          </cell>
          <cell r="F62" t="str">
            <v>AM</v>
          </cell>
          <cell r="H62">
            <v>185</v>
          </cell>
          <cell r="I62">
            <v>27974</v>
          </cell>
        </row>
        <row r="63">
          <cell r="A63">
            <v>44197</v>
          </cell>
          <cell r="B63" t="str">
            <v>Favas Kurinhilayil</v>
          </cell>
          <cell r="E63" t="str">
            <v>HHTT</v>
          </cell>
          <cell r="F63" t="str">
            <v>AM</v>
          </cell>
          <cell r="H63">
            <v>57</v>
          </cell>
          <cell r="I63">
            <v>17137</v>
          </cell>
        </row>
        <row r="64">
          <cell r="A64">
            <v>44197</v>
          </cell>
          <cell r="B64" t="str">
            <v>Feroz Shaikh</v>
          </cell>
          <cell r="E64" t="str">
            <v>HHTT</v>
          </cell>
          <cell r="F64" t="str">
            <v>AM</v>
          </cell>
          <cell r="H64">
            <v>69</v>
          </cell>
          <cell r="I64">
            <v>9787</v>
          </cell>
        </row>
        <row r="65">
          <cell r="A65">
            <v>44197</v>
          </cell>
          <cell r="B65" t="str">
            <v>Hasa Alharthi</v>
          </cell>
          <cell r="E65" t="str">
            <v>HHTT</v>
          </cell>
          <cell r="F65" t="str">
            <v>AM</v>
          </cell>
          <cell r="H65">
            <v>32</v>
          </cell>
          <cell r="I65">
            <v>6300</v>
          </cell>
        </row>
        <row r="66">
          <cell r="A66">
            <v>44197</v>
          </cell>
          <cell r="B66" t="str">
            <v>Iqbal Hussain</v>
          </cell>
          <cell r="E66" t="str">
            <v>HHTT</v>
          </cell>
          <cell r="F66" t="str">
            <v>AM</v>
          </cell>
          <cell r="H66">
            <v>26</v>
          </cell>
          <cell r="I66">
            <v>23437</v>
          </cell>
        </row>
        <row r="67">
          <cell r="A67">
            <v>44197</v>
          </cell>
          <cell r="B67" t="str">
            <v>Khalid Mohammed</v>
          </cell>
          <cell r="E67" t="str">
            <v>HHTT</v>
          </cell>
          <cell r="F67" t="str">
            <v>AM</v>
          </cell>
          <cell r="H67">
            <v>161</v>
          </cell>
          <cell r="I67">
            <v>24487</v>
          </cell>
        </row>
        <row r="68">
          <cell r="A68">
            <v>44197</v>
          </cell>
          <cell r="B68" t="str">
            <v>Mohammed Irfan Khan</v>
          </cell>
          <cell r="E68" t="str">
            <v>HHTT</v>
          </cell>
          <cell r="F68" t="str">
            <v>AM</v>
          </cell>
          <cell r="H68">
            <v>57</v>
          </cell>
          <cell r="I68">
            <v>9787</v>
          </cell>
        </row>
        <row r="69">
          <cell r="A69">
            <v>44197</v>
          </cell>
          <cell r="B69" t="str">
            <v>Muhammad Nauman Khan</v>
          </cell>
          <cell r="E69" t="str">
            <v>HHTT</v>
          </cell>
          <cell r="F69" t="str">
            <v>AM</v>
          </cell>
          <cell r="H69">
            <v>69</v>
          </cell>
          <cell r="I69">
            <v>33039</v>
          </cell>
        </row>
        <row r="70">
          <cell r="A70">
            <v>44197</v>
          </cell>
          <cell r="B70" t="str">
            <v>Mushahid Hussain Syed</v>
          </cell>
          <cell r="E70" t="str">
            <v>HHTT</v>
          </cell>
          <cell r="F70" t="str">
            <v>AM</v>
          </cell>
          <cell r="H70">
            <v>59</v>
          </cell>
          <cell r="I70">
            <v>17137</v>
          </cell>
        </row>
        <row r="71">
          <cell r="A71">
            <v>44197</v>
          </cell>
          <cell r="B71" t="str">
            <v>Osama ElWawi</v>
          </cell>
          <cell r="E71" t="str">
            <v>HHTT</v>
          </cell>
          <cell r="F71" t="str">
            <v>AM</v>
          </cell>
          <cell r="H71">
            <v>111</v>
          </cell>
          <cell r="I71">
            <v>24487</v>
          </cell>
        </row>
        <row r="72">
          <cell r="A72">
            <v>44197</v>
          </cell>
          <cell r="B72" t="str">
            <v>Ramy Abdel Fattah</v>
          </cell>
          <cell r="E72" t="str">
            <v>HHTT</v>
          </cell>
          <cell r="F72" t="str">
            <v>AM</v>
          </cell>
          <cell r="H72">
            <v>80</v>
          </cell>
          <cell r="I72">
            <v>17137</v>
          </cell>
        </row>
        <row r="73">
          <cell r="A73">
            <v>44197</v>
          </cell>
          <cell r="B73" t="str">
            <v>Mustafa Shalabi</v>
          </cell>
          <cell r="E73" t="str">
            <v>TME</v>
          </cell>
          <cell r="F73" t="str">
            <v>D</v>
          </cell>
          <cell r="H73">
            <v>1442</v>
          </cell>
          <cell r="I73">
            <v>337000</v>
          </cell>
        </row>
        <row r="74">
          <cell r="A74">
            <v>44197</v>
          </cell>
          <cell r="B74" t="str">
            <v>Aamir Mir</v>
          </cell>
          <cell r="E74" t="str">
            <v>TME</v>
          </cell>
          <cell r="F74" t="str">
            <v>AM</v>
          </cell>
          <cell r="H74">
            <v>114</v>
          </cell>
          <cell r="I74">
            <v>29350</v>
          </cell>
        </row>
        <row r="75">
          <cell r="A75">
            <v>44197</v>
          </cell>
          <cell r="B75" t="str">
            <v>Ahmed AlShehhi</v>
          </cell>
          <cell r="E75" t="str">
            <v>TME</v>
          </cell>
          <cell r="F75" t="str">
            <v>AM</v>
          </cell>
          <cell r="H75">
            <v>66</v>
          </cell>
          <cell r="I75">
            <v>12150</v>
          </cell>
        </row>
        <row r="76">
          <cell r="A76">
            <v>44197</v>
          </cell>
          <cell r="B76" t="str">
            <v>Amna Salem</v>
          </cell>
          <cell r="E76" t="str">
            <v>TME</v>
          </cell>
          <cell r="F76" t="str">
            <v>AM</v>
          </cell>
          <cell r="H76">
            <v>66</v>
          </cell>
          <cell r="I76">
            <v>12150</v>
          </cell>
        </row>
        <row r="77">
          <cell r="A77">
            <v>44197</v>
          </cell>
          <cell r="B77" t="str">
            <v>Anastasia Maltseva</v>
          </cell>
          <cell r="E77" t="str">
            <v>TME</v>
          </cell>
          <cell r="F77" t="str">
            <v>AM</v>
          </cell>
          <cell r="H77">
            <v>66</v>
          </cell>
          <cell r="I77">
            <v>12150</v>
          </cell>
        </row>
        <row r="78">
          <cell r="A78">
            <v>44197</v>
          </cell>
          <cell r="B78" t="str">
            <v>Basheer Razak</v>
          </cell>
          <cell r="E78" t="str">
            <v>TME</v>
          </cell>
          <cell r="F78" t="str">
            <v>AM</v>
          </cell>
          <cell r="H78">
            <v>75</v>
          </cell>
          <cell r="I78">
            <v>38000</v>
          </cell>
        </row>
        <row r="79">
          <cell r="A79">
            <v>44197</v>
          </cell>
          <cell r="B79" t="str">
            <v>Ehab Hajou</v>
          </cell>
          <cell r="E79" t="str">
            <v>TME</v>
          </cell>
          <cell r="F79" t="str">
            <v>AM</v>
          </cell>
          <cell r="H79">
            <v>104</v>
          </cell>
          <cell r="I79">
            <v>33000</v>
          </cell>
        </row>
        <row r="80">
          <cell r="A80">
            <v>44197</v>
          </cell>
          <cell r="B80" t="str">
            <v>Fadi Saleh</v>
          </cell>
          <cell r="E80" t="str">
            <v>TME</v>
          </cell>
          <cell r="F80" t="str">
            <v>AM</v>
          </cell>
          <cell r="H80">
            <v>114</v>
          </cell>
          <cell r="I80">
            <v>29350</v>
          </cell>
        </row>
        <row r="81">
          <cell r="A81">
            <v>44197</v>
          </cell>
          <cell r="B81" t="str">
            <v>Farha Hameed</v>
          </cell>
          <cell r="E81" t="str">
            <v>TME</v>
          </cell>
          <cell r="F81" t="str">
            <v>AM</v>
          </cell>
          <cell r="H81">
            <v>114</v>
          </cell>
          <cell r="I81">
            <v>29350</v>
          </cell>
        </row>
        <row r="82">
          <cell r="A82">
            <v>44197</v>
          </cell>
          <cell r="B82" t="str">
            <v>Jeevantha Ranasinghe</v>
          </cell>
          <cell r="E82" t="str">
            <v>TME</v>
          </cell>
          <cell r="F82" t="str">
            <v>AM</v>
          </cell>
          <cell r="H82">
            <v>114</v>
          </cell>
          <cell r="I82">
            <v>29350</v>
          </cell>
        </row>
        <row r="83">
          <cell r="A83">
            <v>44197</v>
          </cell>
          <cell r="B83" t="str">
            <v>Mahmood Murad</v>
          </cell>
          <cell r="E83" t="str">
            <v>TME</v>
          </cell>
          <cell r="F83" t="str">
            <v>AM</v>
          </cell>
          <cell r="H83">
            <v>114</v>
          </cell>
          <cell r="I83">
            <v>35500</v>
          </cell>
        </row>
        <row r="84">
          <cell r="A84">
            <v>44197</v>
          </cell>
          <cell r="B84" t="str">
            <v>Majid Abdulla</v>
          </cell>
          <cell r="E84" t="str">
            <v>TME</v>
          </cell>
          <cell r="F84" t="str">
            <v>AM</v>
          </cell>
          <cell r="H84">
            <v>114</v>
          </cell>
          <cell r="I84">
            <v>29350</v>
          </cell>
        </row>
        <row r="85">
          <cell r="A85">
            <v>44197</v>
          </cell>
          <cell r="B85" t="str">
            <v>Mohamed Abdelkhalek</v>
          </cell>
          <cell r="E85" t="str">
            <v>TME</v>
          </cell>
          <cell r="F85" t="str">
            <v>AM</v>
          </cell>
          <cell r="H85">
            <v>114</v>
          </cell>
          <cell r="I85">
            <v>29350</v>
          </cell>
        </row>
        <row r="86">
          <cell r="A86">
            <v>44197</v>
          </cell>
          <cell r="B86" t="str">
            <v>Ramez Al Alami</v>
          </cell>
          <cell r="E86" t="str">
            <v>TME</v>
          </cell>
          <cell r="F86" t="str">
            <v>AM</v>
          </cell>
          <cell r="H86">
            <v>114</v>
          </cell>
          <cell r="I86">
            <v>29350</v>
          </cell>
        </row>
        <row r="87">
          <cell r="A87">
            <v>44197</v>
          </cell>
          <cell r="B87" t="str">
            <v>Suleiman Wanni</v>
          </cell>
          <cell r="E87" t="str">
            <v>TME</v>
          </cell>
          <cell r="F87" t="str">
            <v>AM</v>
          </cell>
          <cell r="H87">
            <v>255</v>
          </cell>
          <cell r="I87">
            <v>9800</v>
          </cell>
        </row>
        <row r="88">
          <cell r="A88">
            <v>44197</v>
          </cell>
          <cell r="B88" t="str">
            <v>Zaid Jaber</v>
          </cell>
          <cell r="E88" t="str">
            <v>TME</v>
          </cell>
          <cell r="F88" t="str">
            <v>AM</v>
          </cell>
          <cell r="H88">
            <v>114</v>
          </cell>
          <cell r="I88">
            <v>29350</v>
          </cell>
        </row>
        <row r="89">
          <cell r="A89">
            <v>44228</v>
          </cell>
          <cell r="B89" t="str">
            <v>Mohamad Amer Sibai</v>
          </cell>
          <cell r="E89" t="str">
            <v>DXB</v>
          </cell>
          <cell r="F89" t="str">
            <v>D</v>
          </cell>
          <cell r="H89">
            <v>150</v>
          </cell>
          <cell r="I89">
            <v>80000</v>
          </cell>
        </row>
        <row r="90">
          <cell r="A90">
            <v>44228</v>
          </cell>
          <cell r="B90" t="str">
            <v>Mohamed Mady</v>
          </cell>
          <cell r="E90" t="str">
            <v>DXB</v>
          </cell>
          <cell r="F90" t="str">
            <v>AM</v>
          </cell>
          <cell r="H90">
            <v>37.5</v>
          </cell>
          <cell r="I90">
            <v>12000</v>
          </cell>
        </row>
        <row r="91">
          <cell r="A91">
            <v>44228</v>
          </cell>
          <cell r="B91" t="str">
            <v>Ramzi Gholmieh</v>
          </cell>
          <cell r="E91" t="str">
            <v>DXB</v>
          </cell>
          <cell r="F91" t="str">
            <v>AM</v>
          </cell>
          <cell r="H91">
            <v>37.5</v>
          </cell>
          <cell r="I91">
            <v>20000</v>
          </cell>
        </row>
        <row r="92">
          <cell r="A92">
            <v>44228</v>
          </cell>
          <cell r="B92" t="str">
            <v>Saleh Barami</v>
          </cell>
          <cell r="E92" t="str">
            <v>DXB</v>
          </cell>
          <cell r="F92" t="str">
            <v>AM</v>
          </cell>
          <cell r="H92">
            <v>37.5</v>
          </cell>
          <cell r="I92">
            <v>13000</v>
          </cell>
        </row>
        <row r="93">
          <cell r="A93">
            <v>44228</v>
          </cell>
          <cell r="B93" t="str">
            <v>Talal Ahmed Ali Alsharhan</v>
          </cell>
          <cell r="E93" t="str">
            <v>DXB</v>
          </cell>
          <cell r="F93" t="str">
            <v>AM</v>
          </cell>
          <cell r="H93">
            <v>37.5</v>
          </cell>
          <cell r="I93">
            <v>35000</v>
          </cell>
        </row>
        <row r="94">
          <cell r="A94">
            <v>44228</v>
          </cell>
          <cell r="B94" t="str">
            <v>Khaled Alawadi</v>
          </cell>
          <cell r="E94" t="str">
            <v>F-NE</v>
          </cell>
          <cell r="F94" t="str">
            <v>D</v>
          </cell>
          <cell r="H94">
            <v>1100</v>
          </cell>
          <cell r="I94">
            <v>100000</v>
          </cell>
        </row>
        <row r="95">
          <cell r="A95">
            <v>44228</v>
          </cell>
          <cell r="B95" t="str">
            <v>Bader Al Shehhi</v>
          </cell>
          <cell r="E95" t="str">
            <v>F-NE</v>
          </cell>
          <cell r="F95" t="str">
            <v>AM</v>
          </cell>
          <cell r="H95">
            <v>160.01224759987986</v>
          </cell>
          <cell r="I95">
            <v>10000</v>
          </cell>
        </row>
        <row r="96">
          <cell r="A96">
            <v>44228</v>
          </cell>
          <cell r="B96" t="str">
            <v>Majd Nairoukh</v>
          </cell>
          <cell r="E96" t="str">
            <v>F-NE</v>
          </cell>
          <cell r="F96" t="str">
            <v>AM</v>
          </cell>
          <cell r="H96">
            <v>459.95100960048052</v>
          </cell>
          <cell r="I96">
            <v>58000</v>
          </cell>
        </row>
        <row r="97">
          <cell r="A97">
            <v>44228</v>
          </cell>
          <cell r="B97" t="str">
            <v>Nader AlMustafa</v>
          </cell>
          <cell r="E97" t="str">
            <v>F-NE</v>
          </cell>
          <cell r="F97" t="str">
            <v>AM</v>
          </cell>
          <cell r="H97">
            <v>160.01224759987986</v>
          </cell>
          <cell r="I97">
            <v>10000</v>
          </cell>
        </row>
        <row r="98">
          <cell r="A98">
            <v>44228</v>
          </cell>
          <cell r="B98" t="str">
            <v>Tariq AlAwadhi</v>
          </cell>
          <cell r="E98" t="str">
            <v>F-NE</v>
          </cell>
          <cell r="F98" t="str">
            <v>AM</v>
          </cell>
          <cell r="H98">
            <v>160.01224759987986</v>
          </cell>
          <cell r="I98">
            <v>2000</v>
          </cell>
        </row>
        <row r="99">
          <cell r="A99">
            <v>44228</v>
          </cell>
          <cell r="B99" t="str">
            <v>Yousef Al Baloushi</v>
          </cell>
          <cell r="E99" t="str">
            <v>F-NE</v>
          </cell>
          <cell r="F99" t="str">
            <v>AM</v>
          </cell>
          <cell r="H99">
            <v>160.01224759987986</v>
          </cell>
          <cell r="I99">
            <v>20000</v>
          </cell>
        </row>
        <row r="100">
          <cell r="A100">
            <v>44228</v>
          </cell>
          <cell r="B100" t="str">
            <v>Khalid Karmastaji</v>
          </cell>
          <cell r="E100" t="str">
            <v>KA-AUH</v>
          </cell>
          <cell r="F100" t="str">
            <v>D</v>
          </cell>
          <cell r="H100">
            <v>150</v>
          </cell>
          <cell r="I100">
            <v>320000</v>
          </cell>
        </row>
        <row r="101">
          <cell r="A101">
            <v>44228</v>
          </cell>
          <cell r="B101" t="str">
            <v>Ammar Alqudsi</v>
          </cell>
          <cell r="E101" t="str">
            <v>KA-AUH</v>
          </cell>
          <cell r="F101" t="str">
            <v>AM</v>
          </cell>
          <cell r="H101">
            <v>25</v>
          </cell>
          <cell r="I101">
            <v>47000</v>
          </cell>
        </row>
        <row r="102">
          <cell r="A102">
            <v>44228</v>
          </cell>
          <cell r="B102" t="str">
            <v>Fadi Murad</v>
          </cell>
          <cell r="E102" t="str">
            <v>KA-AUH</v>
          </cell>
          <cell r="F102" t="str">
            <v>AM</v>
          </cell>
          <cell r="H102">
            <v>20</v>
          </cell>
          <cell r="I102">
            <v>42000</v>
          </cell>
        </row>
        <row r="103">
          <cell r="A103">
            <v>44228</v>
          </cell>
          <cell r="B103" t="str">
            <v>Haifa Alawi</v>
          </cell>
          <cell r="E103" t="str">
            <v>KA-AUH</v>
          </cell>
          <cell r="F103" t="str">
            <v>AM</v>
          </cell>
          <cell r="H103">
            <v>15</v>
          </cell>
          <cell r="I103">
            <v>40000</v>
          </cell>
        </row>
        <row r="104">
          <cell r="A104">
            <v>44228</v>
          </cell>
          <cell r="B104" t="str">
            <v>Meera Alhosani</v>
          </cell>
          <cell r="E104" t="str">
            <v>KA-AUH</v>
          </cell>
          <cell r="F104" t="str">
            <v>AM</v>
          </cell>
          <cell r="H104">
            <v>15</v>
          </cell>
          <cell r="I104">
            <v>41000</v>
          </cell>
        </row>
        <row r="105">
          <cell r="A105">
            <v>44228</v>
          </cell>
          <cell r="B105" t="str">
            <v>Osman Basuleman</v>
          </cell>
          <cell r="E105" t="str">
            <v>KA-AUH</v>
          </cell>
          <cell r="F105" t="str">
            <v>AM</v>
          </cell>
          <cell r="H105">
            <v>25</v>
          </cell>
          <cell r="I105">
            <v>45000</v>
          </cell>
        </row>
        <row r="106">
          <cell r="A106">
            <v>44228</v>
          </cell>
          <cell r="B106" t="str">
            <v>Tamer AlMahameed</v>
          </cell>
          <cell r="E106" t="str">
            <v>KA-AUH</v>
          </cell>
          <cell r="F106" t="str">
            <v>AM</v>
          </cell>
          <cell r="H106">
            <v>25</v>
          </cell>
          <cell r="I106">
            <v>44000</v>
          </cell>
        </row>
        <row r="107">
          <cell r="A107">
            <v>44228</v>
          </cell>
          <cell r="B107" t="str">
            <v>Tarek Solh</v>
          </cell>
          <cell r="E107" t="str">
            <v>KA-AUH</v>
          </cell>
          <cell r="F107" t="str">
            <v>AM</v>
          </cell>
          <cell r="H107">
            <v>25</v>
          </cell>
          <cell r="I107">
            <v>61000</v>
          </cell>
        </row>
        <row r="108">
          <cell r="A108">
            <v>44228</v>
          </cell>
          <cell r="B108" t="str">
            <v>Mazen Adem</v>
          </cell>
          <cell r="E108" t="str">
            <v>KA</v>
          </cell>
          <cell r="F108" t="str">
            <v>D</v>
          </cell>
          <cell r="H108">
            <v>600</v>
          </cell>
          <cell r="I108">
            <v>200000</v>
          </cell>
        </row>
        <row r="109">
          <cell r="A109">
            <v>44228</v>
          </cell>
          <cell r="B109" t="str">
            <v>Abdel Azim Sharabati</v>
          </cell>
          <cell r="E109" t="str">
            <v>KA</v>
          </cell>
          <cell r="F109" t="str">
            <v>AM</v>
          </cell>
          <cell r="H109">
            <v>100</v>
          </cell>
          <cell r="I109">
            <v>32300</v>
          </cell>
        </row>
        <row r="110">
          <cell r="A110">
            <v>44228</v>
          </cell>
          <cell r="B110" t="str">
            <v>Abraham Cherian</v>
          </cell>
          <cell r="E110" t="str">
            <v>KA</v>
          </cell>
          <cell r="F110" t="str">
            <v>AM</v>
          </cell>
          <cell r="H110">
            <v>80</v>
          </cell>
          <cell r="I110">
            <v>41000</v>
          </cell>
        </row>
        <row r="111">
          <cell r="A111">
            <v>44228</v>
          </cell>
          <cell r="B111" t="str">
            <v>Arjun Subaraman</v>
          </cell>
          <cell r="E111" t="str">
            <v>KA</v>
          </cell>
          <cell r="F111" t="str">
            <v>AM</v>
          </cell>
          <cell r="H111">
            <v>80</v>
          </cell>
          <cell r="I111">
            <v>32300</v>
          </cell>
        </row>
        <row r="112">
          <cell r="A112">
            <v>44228</v>
          </cell>
          <cell r="B112" t="str">
            <v>Ghassan Fouany</v>
          </cell>
          <cell r="E112" t="str">
            <v>KA</v>
          </cell>
          <cell r="F112" t="str">
            <v>AM</v>
          </cell>
          <cell r="H112">
            <v>150</v>
          </cell>
          <cell r="I112">
            <v>27000</v>
          </cell>
        </row>
        <row r="113">
          <cell r="A113">
            <v>44228</v>
          </cell>
          <cell r="B113" t="str">
            <v>Inayat Fazili</v>
          </cell>
          <cell r="E113" t="str">
            <v>KA</v>
          </cell>
          <cell r="F113" t="str">
            <v>AM</v>
          </cell>
          <cell r="H113">
            <v>100</v>
          </cell>
          <cell r="I113">
            <v>32400</v>
          </cell>
        </row>
        <row r="114">
          <cell r="A114">
            <v>44228</v>
          </cell>
          <cell r="B114" t="str">
            <v>Khawla Almansoori</v>
          </cell>
          <cell r="E114" t="str">
            <v>KA</v>
          </cell>
          <cell r="F114" t="str">
            <v>AM</v>
          </cell>
          <cell r="H114">
            <v>90</v>
          </cell>
          <cell r="I114">
            <v>35000</v>
          </cell>
        </row>
        <row r="115">
          <cell r="A115">
            <v>44228</v>
          </cell>
          <cell r="B115" t="str">
            <v>Hamzah Nofal</v>
          </cell>
          <cell r="E115" t="str">
            <v>RCOGM</v>
          </cell>
          <cell r="F115" t="str">
            <v>D</v>
          </cell>
          <cell r="H115">
            <v>1062</v>
          </cell>
          <cell r="I115">
            <v>255850</v>
          </cell>
        </row>
        <row r="116">
          <cell r="A116">
            <v>44228</v>
          </cell>
          <cell r="B116" t="str">
            <v>Ali Alzarooni</v>
          </cell>
          <cell r="E116" t="str">
            <v>RCOGM</v>
          </cell>
          <cell r="F116" t="str">
            <v>AM</v>
          </cell>
          <cell r="H116">
            <v>82</v>
          </cell>
          <cell r="I116">
            <v>13500</v>
          </cell>
        </row>
        <row r="117">
          <cell r="A117">
            <v>44228</v>
          </cell>
          <cell r="B117" t="str">
            <v>Ali Shahin</v>
          </cell>
          <cell r="E117" t="str">
            <v>RCOGM</v>
          </cell>
          <cell r="F117" t="str">
            <v>AM</v>
          </cell>
          <cell r="H117">
            <v>100</v>
          </cell>
          <cell r="I117">
            <v>23500</v>
          </cell>
        </row>
        <row r="118">
          <cell r="A118">
            <v>44228</v>
          </cell>
          <cell r="B118" t="str">
            <v>Meerza Ramjeed</v>
          </cell>
          <cell r="E118" t="str">
            <v>RCOGM</v>
          </cell>
          <cell r="F118" t="str">
            <v>AM</v>
          </cell>
          <cell r="H118">
            <v>21</v>
          </cell>
          <cell r="I118">
            <v>22350</v>
          </cell>
        </row>
        <row r="119">
          <cell r="A119">
            <v>44228</v>
          </cell>
          <cell r="B119" t="str">
            <v>Mohamad Labban</v>
          </cell>
          <cell r="E119" t="str">
            <v>RCOGM</v>
          </cell>
          <cell r="F119" t="str">
            <v>AM</v>
          </cell>
          <cell r="H119">
            <v>100</v>
          </cell>
          <cell r="I119">
            <v>23500</v>
          </cell>
        </row>
        <row r="120">
          <cell r="A120">
            <v>44228</v>
          </cell>
          <cell r="B120" t="str">
            <v>Mohamed Kishk</v>
          </cell>
          <cell r="E120" t="str">
            <v>RCOGM</v>
          </cell>
          <cell r="F120" t="str">
            <v>AM</v>
          </cell>
          <cell r="H120">
            <v>82</v>
          </cell>
          <cell r="I120">
            <v>13500</v>
          </cell>
        </row>
        <row r="121">
          <cell r="A121">
            <v>44228</v>
          </cell>
          <cell r="B121" t="str">
            <v>Mohd Sheikh Salem</v>
          </cell>
          <cell r="E121" t="str">
            <v>RCOGM</v>
          </cell>
          <cell r="F121" t="str">
            <v>AM</v>
          </cell>
          <cell r="H121">
            <v>100</v>
          </cell>
          <cell r="I121">
            <v>23500</v>
          </cell>
        </row>
        <row r="122">
          <cell r="A122">
            <v>44228</v>
          </cell>
          <cell r="B122" t="str">
            <v>Ninette Hajjar</v>
          </cell>
          <cell r="E122" t="str">
            <v>RCOGM</v>
          </cell>
          <cell r="F122" t="str">
            <v>AM</v>
          </cell>
          <cell r="H122">
            <v>65</v>
          </cell>
          <cell r="I122">
            <v>36500</v>
          </cell>
        </row>
        <row r="123">
          <cell r="A123">
            <v>44228</v>
          </cell>
          <cell r="B123" t="str">
            <v>Ram Arya</v>
          </cell>
          <cell r="E123" t="str">
            <v>RCOGM</v>
          </cell>
          <cell r="F123" t="str">
            <v>AM</v>
          </cell>
          <cell r="H123">
            <v>82</v>
          </cell>
          <cell r="I123">
            <v>13500</v>
          </cell>
        </row>
        <row r="124">
          <cell r="A124">
            <v>44228</v>
          </cell>
          <cell r="B124" t="str">
            <v>Sana Shaikh</v>
          </cell>
          <cell r="E124" t="str">
            <v>RCOGM</v>
          </cell>
          <cell r="F124" t="str">
            <v>AM</v>
          </cell>
          <cell r="H124">
            <v>65</v>
          </cell>
          <cell r="I124">
            <v>6500</v>
          </cell>
        </row>
        <row r="125">
          <cell r="A125">
            <v>44228</v>
          </cell>
          <cell r="B125" t="str">
            <v>Shabbir Lacewala</v>
          </cell>
          <cell r="E125" t="str">
            <v>RCOGM</v>
          </cell>
          <cell r="F125" t="str">
            <v>AM</v>
          </cell>
          <cell r="H125">
            <v>65</v>
          </cell>
          <cell r="I125">
            <v>36500</v>
          </cell>
        </row>
        <row r="126">
          <cell r="A126">
            <v>44228</v>
          </cell>
          <cell r="B126" t="str">
            <v>Shadab Sheikh</v>
          </cell>
          <cell r="E126" t="str">
            <v>RCOGM</v>
          </cell>
          <cell r="F126" t="str">
            <v>AM</v>
          </cell>
          <cell r="H126">
            <v>65</v>
          </cell>
          <cell r="I126">
            <v>6500</v>
          </cell>
        </row>
        <row r="127">
          <cell r="A127">
            <v>44228</v>
          </cell>
          <cell r="B127" t="str">
            <v>Syed Atif</v>
          </cell>
          <cell r="E127" t="str">
            <v>RCOGM</v>
          </cell>
          <cell r="F127" t="str">
            <v>AM</v>
          </cell>
          <cell r="H127">
            <v>65</v>
          </cell>
          <cell r="I127">
            <v>6500</v>
          </cell>
        </row>
        <row r="128">
          <cell r="A128">
            <v>44228</v>
          </cell>
          <cell r="B128" t="str">
            <v>Vandana Dubey</v>
          </cell>
          <cell r="E128" t="str">
            <v>RCOGM</v>
          </cell>
          <cell r="F128" t="str">
            <v>AM</v>
          </cell>
          <cell r="H128">
            <v>82</v>
          </cell>
          <cell r="I128">
            <v>13500</v>
          </cell>
        </row>
        <row r="129">
          <cell r="A129">
            <v>44228</v>
          </cell>
          <cell r="B129" t="str">
            <v>Vineeth Augustine</v>
          </cell>
          <cell r="E129" t="str">
            <v>RCOGM</v>
          </cell>
          <cell r="F129" t="str">
            <v>AM</v>
          </cell>
          <cell r="H129">
            <v>88</v>
          </cell>
          <cell r="I129">
            <v>16500</v>
          </cell>
        </row>
        <row r="130">
          <cell r="A130">
            <v>44228</v>
          </cell>
          <cell r="B130" t="str">
            <v>Hany Jawee</v>
          </cell>
          <cell r="E130" t="str">
            <v>FCR</v>
          </cell>
          <cell r="F130" t="str">
            <v>D</v>
          </cell>
          <cell r="H130">
            <v>1198</v>
          </cell>
          <cell r="I130">
            <v>349850</v>
          </cell>
        </row>
        <row r="131">
          <cell r="A131">
            <v>44228</v>
          </cell>
          <cell r="B131" t="str">
            <v>Amjad Ilwan</v>
          </cell>
          <cell r="E131" t="str">
            <v>FCR</v>
          </cell>
          <cell r="F131" t="str">
            <v>AM</v>
          </cell>
          <cell r="H131">
            <v>121</v>
          </cell>
          <cell r="I131">
            <v>39532.302429957403</v>
          </cell>
        </row>
        <row r="132">
          <cell r="A132">
            <v>44228</v>
          </cell>
          <cell r="B132" t="str">
            <v>Eslam Hassan</v>
          </cell>
          <cell r="E132" t="str">
            <v>FCR</v>
          </cell>
          <cell r="F132" t="str">
            <v>AM</v>
          </cell>
          <cell r="H132">
            <v>31</v>
          </cell>
          <cell r="I132">
            <v>19982.302429957399</v>
          </cell>
        </row>
        <row r="133">
          <cell r="A133">
            <v>44228</v>
          </cell>
          <cell r="B133" t="str">
            <v>Mansi Trivedi</v>
          </cell>
          <cell r="E133" t="str">
            <v>FCR</v>
          </cell>
          <cell r="F133" t="str">
            <v>AM</v>
          </cell>
          <cell r="H133">
            <v>31</v>
          </cell>
          <cell r="I133">
            <v>7500.3024299573999</v>
          </cell>
        </row>
        <row r="134">
          <cell r="A134">
            <v>44228</v>
          </cell>
          <cell r="B134" t="str">
            <v>Mohamed Mostafa</v>
          </cell>
          <cell r="E134" t="str">
            <v>FCR</v>
          </cell>
          <cell r="F134" t="str">
            <v>AM</v>
          </cell>
          <cell r="H134">
            <v>35.707993205795098</v>
          </cell>
          <cell r="I134">
            <v>11532.302429957401</v>
          </cell>
        </row>
        <row r="135">
          <cell r="A135">
            <v>44228</v>
          </cell>
          <cell r="B135" t="str">
            <v>Mohamed Reda</v>
          </cell>
          <cell r="E135" t="str">
            <v>FCR</v>
          </cell>
          <cell r="F135" t="str">
            <v>AM</v>
          </cell>
          <cell r="H135">
            <v>141</v>
          </cell>
          <cell r="I135">
            <v>19982.302429957399</v>
          </cell>
        </row>
        <row r="136">
          <cell r="A136">
            <v>44228</v>
          </cell>
          <cell r="B136" t="str">
            <v>Nadeem Rasheed</v>
          </cell>
          <cell r="E136" t="str">
            <v>FCR</v>
          </cell>
          <cell r="F136" t="str">
            <v>AM</v>
          </cell>
          <cell r="H136">
            <v>35</v>
          </cell>
          <cell r="I136">
            <v>20038.302429957399</v>
          </cell>
        </row>
        <row r="137">
          <cell r="A137">
            <v>44228</v>
          </cell>
          <cell r="B137" t="str">
            <v>Othman Hassan</v>
          </cell>
          <cell r="E137" t="str">
            <v>FCR</v>
          </cell>
          <cell r="F137" t="str">
            <v>AM</v>
          </cell>
          <cell r="H137">
            <v>101</v>
          </cell>
          <cell r="I137">
            <v>39532.302429957403</v>
          </cell>
        </row>
        <row r="138">
          <cell r="A138">
            <v>44228</v>
          </cell>
          <cell r="B138" t="str">
            <v>Rahul Raina</v>
          </cell>
          <cell r="E138" t="str">
            <v>FCR</v>
          </cell>
          <cell r="F138" t="str">
            <v>AM</v>
          </cell>
          <cell r="H138">
            <v>164.70799320579499</v>
          </cell>
          <cell r="I138">
            <v>11928.302429957401</v>
          </cell>
        </row>
        <row r="139">
          <cell r="A139">
            <v>44228</v>
          </cell>
          <cell r="B139" t="str">
            <v>Ranjith Chandran</v>
          </cell>
          <cell r="E139" t="str">
            <v>FCR</v>
          </cell>
          <cell r="F139" t="str">
            <v>AM</v>
          </cell>
          <cell r="H139">
            <v>164.70799320579499</v>
          </cell>
          <cell r="I139">
            <v>6500.3024299573999</v>
          </cell>
        </row>
        <row r="140">
          <cell r="A140">
            <v>44228</v>
          </cell>
          <cell r="B140" t="str">
            <v>Richard Chandy</v>
          </cell>
          <cell r="E140" t="str">
            <v>FCR</v>
          </cell>
          <cell r="F140" t="str">
            <v>AM</v>
          </cell>
          <cell r="H140">
            <v>46</v>
          </cell>
          <cell r="I140">
            <v>20926</v>
          </cell>
        </row>
        <row r="141">
          <cell r="A141">
            <v>44228</v>
          </cell>
          <cell r="B141" t="str">
            <v>Rijith Menon</v>
          </cell>
          <cell r="E141" t="str">
            <v>FCR</v>
          </cell>
          <cell r="F141" t="str">
            <v>AM</v>
          </cell>
          <cell r="H141">
            <v>50</v>
          </cell>
          <cell r="I141">
            <v>65982.302429957403</v>
          </cell>
        </row>
        <row r="142">
          <cell r="A142">
            <v>44228</v>
          </cell>
          <cell r="B142" t="str">
            <v>Rima Al Safadi</v>
          </cell>
          <cell r="E142" t="str">
            <v>FCR</v>
          </cell>
          <cell r="F142" t="str">
            <v>AM</v>
          </cell>
          <cell r="H142">
            <v>154.70799320579499</v>
          </cell>
          <cell r="I142">
            <v>33997</v>
          </cell>
        </row>
        <row r="143">
          <cell r="A143">
            <v>44228</v>
          </cell>
          <cell r="B143" t="str">
            <v>Salman Amir</v>
          </cell>
          <cell r="E143" t="str">
            <v>FCR</v>
          </cell>
          <cell r="F143" t="str">
            <v>AM</v>
          </cell>
          <cell r="H143">
            <v>30</v>
          </cell>
          <cell r="I143">
            <v>6500.3024299573999</v>
          </cell>
        </row>
        <row r="144">
          <cell r="A144">
            <v>44228</v>
          </cell>
          <cell r="B144" t="str">
            <v>Simon Williams</v>
          </cell>
          <cell r="E144" t="str">
            <v>FCR</v>
          </cell>
          <cell r="F144" t="str">
            <v>AM</v>
          </cell>
          <cell r="H144">
            <v>58</v>
          </cell>
          <cell r="I144">
            <v>24989.204235678601</v>
          </cell>
        </row>
        <row r="145">
          <cell r="A145">
            <v>44228</v>
          </cell>
          <cell r="B145" t="str">
            <v>Usman Zafar Sipra</v>
          </cell>
          <cell r="E145" t="str">
            <v>FCR</v>
          </cell>
          <cell r="F145" t="str">
            <v>AM</v>
          </cell>
          <cell r="H145">
            <v>33.707993205795098</v>
          </cell>
          <cell r="I145">
            <v>20926</v>
          </cell>
        </row>
        <row r="146">
          <cell r="A146">
            <v>44228</v>
          </cell>
          <cell r="B146" t="str">
            <v>Maitha Bin Malek</v>
          </cell>
          <cell r="E146" t="str">
            <v>HHTT</v>
          </cell>
          <cell r="F146" t="str">
            <v>D</v>
          </cell>
          <cell r="H146">
            <v>766</v>
          </cell>
          <cell r="I146">
            <v>263850</v>
          </cell>
        </row>
        <row r="147">
          <cell r="A147">
            <v>44228</v>
          </cell>
          <cell r="B147" t="str">
            <v>Abdelouahab Belamri</v>
          </cell>
          <cell r="E147" t="str">
            <v>HHTT</v>
          </cell>
          <cell r="F147" t="str">
            <v>AM</v>
          </cell>
          <cell r="H147">
            <v>67</v>
          </cell>
          <cell r="I147">
            <v>21108</v>
          </cell>
        </row>
        <row r="148">
          <cell r="A148">
            <v>44228</v>
          </cell>
          <cell r="B148" t="str">
            <v>Bashar Al Adilee</v>
          </cell>
          <cell r="E148" t="str">
            <v>HHTT</v>
          </cell>
          <cell r="F148" t="str">
            <v>AM</v>
          </cell>
          <cell r="H148">
            <v>106</v>
          </cell>
          <cell r="I148">
            <v>32662</v>
          </cell>
        </row>
        <row r="149">
          <cell r="A149">
            <v>44228</v>
          </cell>
          <cell r="B149" t="str">
            <v>Favas Kurinhilayil</v>
          </cell>
          <cell r="E149" t="str">
            <v>HHTT</v>
          </cell>
          <cell r="F149" t="str">
            <v>AM</v>
          </cell>
          <cell r="H149">
            <v>113</v>
          </cell>
          <cell r="I149">
            <v>16224</v>
          </cell>
        </row>
        <row r="150">
          <cell r="A150">
            <v>44228</v>
          </cell>
          <cell r="B150" t="str">
            <v>Feroz Shaikh</v>
          </cell>
          <cell r="E150" t="str">
            <v>HHTT</v>
          </cell>
          <cell r="F150" t="str">
            <v>AM</v>
          </cell>
          <cell r="H150">
            <v>72</v>
          </cell>
          <cell r="I150">
            <v>23108</v>
          </cell>
        </row>
        <row r="151">
          <cell r="A151">
            <v>44228</v>
          </cell>
          <cell r="B151" t="str">
            <v>Hasa Alharthi</v>
          </cell>
          <cell r="E151" t="str">
            <v>HHTT</v>
          </cell>
          <cell r="F151" t="str">
            <v>AM</v>
          </cell>
          <cell r="H151">
            <v>34</v>
          </cell>
          <cell r="I151">
            <v>7100</v>
          </cell>
        </row>
        <row r="152">
          <cell r="A152">
            <v>44228</v>
          </cell>
          <cell r="B152" t="str">
            <v>Iqbal Hussain</v>
          </cell>
          <cell r="E152" t="str">
            <v>HHTT</v>
          </cell>
          <cell r="F152" t="str">
            <v>AM</v>
          </cell>
          <cell r="H152">
            <v>37</v>
          </cell>
          <cell r="I152">
            <v>27000</v>
          </cell>
        </row>
        <row r="153">
          <cell r="A153">
            <v>44228</v>
          </cell>
          <cell r="B153" t="str">
            <v>Ramez Al Alami</v>
          </cell>
          <cell r="E153" t="str">
            <v>HHTT</v>
          </cell>
          <cell r="F153" t="str">
            <v>AM</v>
          </cell>
          <cell r="H153">
            <v>101</v>
          </cell>
          <cell r="I153">
            <v>32662</v>
          </cell>
        </row>
        <row r="154">
          <cell r="A154">
            <v>44228</v>
          </cell>
          <cell r="B154" t="str">
            <v>Muhammad Nauman Khan</v>
          </cell>
          <cell r="E154" t="str">
            <v>HHTT</v>
          </cell>
          <cell r="F154" t="str">
            <v>AM</v>
          </cell>
          <cell r="H154">
            <v>72</v>
          </cell>
          <cell r="I154">
            <v>26108</v>
          </cell>
        </row>
        <row r="155">
          <cell r="A155">
            <v>44228</v>
          </cell>
          <cell r="B155" t="str">
            <v>Mushahid Hussain Syed</v>
          </cell>
          <cell r="E155" t="str">
            <v>HHTT</v>
          </cell>
          <cell r="F155" t="str">
            <v>AM</v>
          </cell>
          <cell r="H155">
            <v>67</v>
          </cell>
          <cell r="I155">
            <v>21108</v>
          </cell>
        </row>
        <row r="156">
          <cell r="A156">
            <v>44228</v>
          </cell>
          <cell r="B156" t="str">
            <v>Osama ElWawi</v>
          </cell>
          <cell r="E156" t="str">
            <v>HHTT</v>
          </cell>
          <cell r="F156" t="str">
            <v>AM</v>
          </cell>
          <cell r="H156">
            <v>101</v>
          </cell>
          <cell r="I156">
            <v>32662</v>
          </cell>
        </row>
        <row r="157">
          <cell r="A157">
            <v>44228</v>
          </cell>
          <cell r="B157" t="str">
            <v>Ramy Abdel Fattah</v>
          </cell>
          <cell r="E157" t="str">
            <v>HHTT</v>
          </cell>
          <cell r="F157" t="str">
            <v>AM</v>
          </cell>
          <cell r="H157">
            <v>72</v>
          </cell>
          <cell r="I157">
            <v>24108</v>
          </cell>
        </row>
        <row r="158">
          <cell r="A158">
            <v>44228</v>
          </cell>
          <cell r="B158" t="str">
            <v>Mustafa Shalabi</v>
          </cell>
          <cell r="E158" t="str">
            <v>TME</v>
          </cell>
          <cell r="F158" t="str">
            <v>D</v>
          </cell>
          <cell r="H158">
            <v>1686</v>
          </cell>
          <cell r="I158">
            <v>441850</v>
          </cell>
        </row>
        <row r="159">
          <cell r="A159">
            <v>44228</v>
          </cell>
          <cell r="B159" t="str">
            <v>Aamir Mir</v>
          </cell>
          <cell r="E159" t="str">
            <v>TME</v>
          </cell>
          <cell r="F159" t="str">
            <v>AM</v>
          </cell>
          <cell r="H159">
            <v>90</v>
          </cell>
          <cell r="I159">
            <v>30000</v>
          </cell>
        </row>
        <row r="160">
          <cell r="A160">
            <v>44228</v>
          </cell>
          <cell r="B160" t="str">
            <v>Ahmed AlShehhi</v>
          </cell>
          <cell r="E160" t="str">
            <v>TME</v>
          </cell>
          <cell r="F160" t="str">
            <v>AM</v>
          </cell>
          <cell r="H160">
            <v>60</v>
          </cell>
          <cell r="I160">
            <v>15000</v>
          </cell>
        </row>
        <row r="161">
          <cell r="A161">
            <v>44228</v>
          </cell>
          <cell r="B161" t="str">
            <v>Amna Salem</v>
          </cell>
          <cell r="E161" t="str">
            <v>TME</v>
          </cell>
          <cell r="F161" t="str">
            <v>AM</v>
          </cell>
          <cell r="H161">
            <v>60</v>
          </cell>
          <cell r="I161">
            <v>15000</v>
          </cell>
        </row>
        <row r="162">
          <cell r="A162">
            <v>44228</v>
          </cell>
          <cell r="B162" t="str">
            <v>Anastasia Maltseva</v>
          </cell>
          <cell r="E162" t="str">
            <v>TME</v>
          </cell>
          <cell r="F162" t="str">
            <v>AM</v>
          </cell>
          <cell r="H162">
            <v>60</v>
          </cell>
          <cell r="I162">
            <v>15000</v>
          </cell>
        </row>
        <row r="163">
          <cell r="A163">
            <v>44228</v>
          </cell>
          <cell r="B163" t="str">
            <v>Basheer Razak</v>
          </cell>
          <cell r="E163" t="str">
            <v>TME</v>
          </cell>
          <cell r="F163" t="str">
            <v>AM</v>
          </cell>
          <cell r="H163">
            <v>90</v>
          </cell>
          <cell r="I163">
            <v>25000</v>
          </cell>
        </row>
        <row r="164">
          <cell r="A164">
            <v>44228</v>
          </cell>
          <cell r="B164" t="str">
            <v>Ehab Hajou</v>
          </cell>
          <cell r="E164" t="str">
            <v>TME</v>
          </cell>
          <cell r="F164" t="str">
            <v>AM</v>
          </cell>
          <cell r="H164">
            <v>100</v>
          </cell>
          <cell r="I164">
            <v>10000</v>
          </cell>
        </row>
        <row r="165">
          <cell r="A165">
            <v>44228</v>
          </cell>
          <cell r="B165" t="str">
            <v>Fadi Saleh</v>
          </cell>
          <cell r="E165" t="str">
            <v>TME</v>
          </cell>
          <cell r="F165" t="str">
            <v>AM</v>
          </cell>
          <cell r="H165">
            <v>65</v>
          </cell>
          <cell r="I165">
            <v>15000</v>
          </cell>
        </row>
        <row r="166">
          <cell r="A166">
            <v>44228</v>
          </cell>
          <cell r="B166" t="str">
            <v>Farha Hameed</v>
          </cell>
          <cell r="E166" t="str">
            <v>TME</v>
          </cell>
          <cell r="F166" t="str">
            <v>AM</v>
          </cell>
          <cell r="H166">
            <v>160</v>
          </cell>
          <cell r="I166">
            <v>30000</v>
          </cell>
        </row>
        <row r="167">
          <cell r="A167">
            <v>44228</v>
          </cell>
          <cell r="B167" t="str">
            <v>Jeevantha Ranasinghe</v>
          </cell>
          <cell r="E167" t="str">
            <v>TME</v>
          </cell>
          <cell r="F167" t="str">
            <v>AM</v>
          </cell>
          <cell r="H167">
            <v>65</v>
          </cell>
          <cell r="I167">
            <v>66850</v>
          </cell>
        </row>
        <row r="168">
          <cell r="A168">
            <v>44228</v>
          </cell>
          <cell r="B168" t="str">
            <v>Mahmood Murad</v>
          </cell>
          <cell r="E168" t="str">
            <v>TME</v>
          </cell>
          <cell r="F168" t="str">
            <v>AM</v>
          </cell>
          <cell r="H168">
            <v>90</v>
          </cell>
          <cell r="I168">
            <v>30000</v>
          </cell>
        </row>
        <row r="169">
          <cell r="A169">
            <v>44228</v>
          </cell>
          <cell r="B169" t="str">
            <v>Majid Abdulla</v>
          </cell>
          <cell r="E169" t="str">
            <v>TME</v>
          </cell>
          <cell r="F169" t="str">
            <v>AM</v>
          </cell>
          <cell r="H169">
            <v>90</v>
          </cell>
          <cell r="I169">
            <v>30000</v>
          </cell>
        </row>
        <row r="170">
          <cell r="A170">
            <v>44228</v>
          </cell>
          <cell r="B170" t="str">
            <v>Mohamed Abdelkhalek</v>
          </cell>
          <cell r="E170" t="str">
            <v>TME</v>
          </cell>
          <cell r="F170" t="str">
            <v>AM</v>
          </cell>
          <cell r="H170">
            <v>100</v>
          </cell>
          <cell r="I170">
            <v>25000</v>
          </cell>
        </row>
        <row r="171">
          <cell r="A171">
            <v>44228</v>
          </cell>
          <cell r="B171" t="str">
            <v>Khalid Mohammed</v>
          </cell>
          <cell r="E171" t="str">
            <v>TME</v>
          </cell>
          <cell r="F171" t="str">
            <v>AM</v>
          </cell>
          <cell r="H171">
            <v>208</v>
          </cell>
          <cell r="I171">
            <v>85000</v>
          </cell>
        </row>
        <row r="172">
          <cell r="A172">
            <v>44228</v>
          </cell>
          <cell r="B172" t="str">
            <v>Suleiman Wanni</v>
          </cell>
          <cell r="E172" t="str">
            <v>TME</v>
          </cell>
          <cell r="F172" t="str">
            <v>AM</v>
          </cell>
          <cell r="H172">
            <v>298</v>
          </cell>
          <cell r="I172">
            <v>20000</v>
          </cell>
        </row>
        <row r="173">
          <cell r="A173">
            <v>44228</v>
          </cell>
          <cell r="B173" t="str">
            <v>Zaid Jaber</v>
          </cell>
          <cell r="E173" t="str">
            <v>TME</v>
          </cell>
          <cell r="F173" t="str">
            <v>AM</v>
          </cell>
          <cell r="H173">
            <v>150</v>
          </cell>
          <cell r="I173">
            <v>30000</v>
          </cell>
        </row>
        <row r="174">
          <cell r="A174">
            <v>44228</v>
          </cell>
          <cell r="B174" t="str">
            <v>Atef Kassem</v>
          </cell>
          <cell r="E174" t="str">
            <v>HHTT</v>
          </cell>
          <cell r="F174" t="str">
            <v>AM</v>
          </cell>
          <cell r="H174">
            <v>15</v>
          </cell>
          <cell r="I174">
            <v>10000</v>
          </cell>
        </row>
        <row r="175">
          <cell r="A175">
            <v>44256</v>
          </cell>
          <cell r="B175" t="str">
            <v>Mohamad Amer Sibai</v>
          </cell>
          <cell r="E175" t="str">
            <v>DXB</v>
          </cell>
          <cell r="F175" t="str">
            <v>D</v>
          </cell>
          <cell r="H175">
            <v>500</v>
          </cell>
          <cell r="I175">
            <v>68571.428571428565</v>
          </cell>
        </row>
        <row r="176">
          <cell r="A176">
            <v>44256</v>
          </cell>
          <cell r="B176" t="str">
            <v>Mohamed Mady</v>
          </cell>
          <cell r="E176" t="str">
            <v>DXB</v>
          </cell>
          <cell r="F176" t="str">
            <v>AM</v>
          </cell>
          <cell r="H176">
            <v>100</v>
          </cell>
          <cell r="I176">
            <v>13000</v>
          </cell>
        </row>
        <row r="177">
          <cell r="A177">
            <v>44256</v>
          </cell>
          <cell r="B177" t="str">
            <v>Muhannad Allow</v>
          </cell>
          <cell r="E177" t="str">
            <v>DXB</v>
          </cell>
          <cell r="F177" t="str">
            <v>AM</v>
          </cell>
          <cell r="H177">
            <v>0</v>
          </cell>
          <cell r="I177">
            <v>0</v>
          </cell>
        </row>
        <row r="178">
          <cell r="A178">
            <v>44256</v>
          </cell>
          <cell r="B178" t="str">
            <v>Ramzi Gholmieh</v>
          </cell>
          <cell r="E178" t="str">
            <v>DXB</v>
          </cell>
          <cell r="F178" t="str">
            <v>AM</v>
          </cell>
          <cell r="H178">
            <v>100</v>
          </cell>
          <cell r="I178">
            <v>17000</v>
          </cell>
        </row>
        <row r="179">
          <cell r="A179">
            <v>44256</v>
          </cell>
          <cell r="B179" t="str">
            <v>Saleh Barami</v>
          </cell>
          <cell r="E179" t="str">
            <v>DXB</v>
          </cell>
          <cell r="F179" t="str">
            <v>AM</v>
          </cell>
          <cell r="H179">
            <v>150</v>
          </cell>
          <cell r="I179">
            <v>19300</v>
          </cell>
        </row>
        <row r="180">
          <cell r="A180">
            <v>44256</v>
          </cell>
          <cell r="B180" t="str">
            <v>Talal Ahmed Ali Alsharhan</v>
          </cell>
          <cell r="E180" t="str">
            <v>DXB</v>
          </cell>
          <cell r="F180" t="str">
            <v>AM</v>
          </cell>
          <cell r="H180">
            <v>150</v>
          </cell>
          <cell r="I180">
            <v>19271.428571428565</v>
          </cell>
        </row>
        <row r="181">
          <cell r="A181">
            <v>44256</v>
          </cell>
          <cell r="B181" t="str">
            <v>Khaled Alawadi</v>
          </cell>
          <cell r="E181" t="str">
            <v>F-NE</v>
          </cell>
          <cell r="F181" t="str">
            <v>D</v>
          </cell>
          <cell r="H181">
            <v>800</v>
          </cell>
          <cell r="I181">
            <v>85714.28571428571</v>
          </cell>
        </row>
        <row r="182">
          <cell r="A182">
            <v>44256</v>
          </cell>
          <cell r="B182" t="str">
            <v>Bader Al Shehhi</v>
          </cell>
          <cell r="E182" t="str">
            <v>F-NE</v>
          </cell>
          <cell r="F182" t="str">
            <v>AM</v>
          </cell>
          <cell r="H182">
            <v>90</v>
          </cell>
          <cell r="I182">
            <v>8000</v>
          </cell>
        </row>
        <row r="183">
          <cell r="A183">
            <v>44256</v>
          </cell>
          <cell r="B183" t="str">
            <v>Majd Nairoukh</v>
          </cell>
          <cell r="E183" t="str">
            <v>F-NE</v>
          </cell>
          <cell r="F183" t="str">
            <v>AM</v>
          </cell>
          <cell r="H183">
            <v>462.50510856525125</v>
          </cell>
          <cell r="I183">
            <v>50000</v>
          </cell>
        </row>
        <row r="184">
          <cell r="A184">
            <v>44256</v>
          </cell>
          <cell r="B184" t="str">
            <v>Nader AlMustafa</v>
          </cell>
          <cell r="E184" t="str">
            <v>F-NE</v>
          </cell>
          <cell r="F184" t="str">
            <v>AM</v>
          </cell>
          <cell r="H184">
            <v>90</v>
          </cell>
          <cell r="I184">
            <v>12000</v>
          </cell>
        </row>
        <row r="185">
          <cell r="A185">
            <v>44256</v>
          </cell>
          <cell r="B185" t="str">
            <v>Tariq AlAwadhi</v>
          </cell>
          <cell r="E185" t="str">
            <v>F-NE</v>
          </cell>
          <cell r="F185" t="str">
            <v>AM</v>
          </cell>
          <cell r="H185">
            <v>67</v>
          </cell>
          <cell r="I185">
            <v>3000</v>
          </cell>
        </row>
        <row r="186">
          <cell r="A186">
            <v>44256</v>
          </cell>
          <cell r="B186" t="str">
            <v>Yousef Al Baloushi</v>
          </cell>
          <cell r="E186" t="str">
            <v>F-NE</v>
          </cell>
          <cell r="F186" t="str">
            <v>AM</v>
          </cell>
          <cell r="H186">
            <v>90</v>
          </cell>
          <cell r="I186">
            <v>12714</v>
          </cell>
        </row>
        <row r="187">
          <cell r="A187">
            <v>44256</v>
          </cell>
          <cell r="B187" t="str">
            <v>Khalid Karmastaji</v>
          </cell>
          <cell r="E187" t="str">
            <v>KA-AUH</v>
          </cell>
          <cell r="F187" t="str">
            <v>D</v>
          </cell>
          <cell r="H187">
            <v>800</v>
          </cell>
          <cell r="I187">
            <v>274286</v>
          </cell>
        </row>
        <row r="188">
          <cell r="A188">
            <v>44256</v>
          </cell>
          <cell r="B188" t="str">
            <v>Ammar Alqudsi</v>
          </cell>
          <cell r="E188" t="str">
            <v>KA-AUH</v>
          </cell>
          <cell r="F188" t="str">
            <v>AM</v>
          </cell>
          <cell r="H188">
            <v>160</v>
          </cell>
          <cell r="I188">
            <v>42286</v>
          </cell>
        </row>
        <row r="189">
          <cell r="A189">
            <v>44256</v>
          </cell>
          <cell r="B189" t="str">
            <v>Fadi Murad</v>
          </cell>
          <cell r="E189" t="str">
            <v>KA-AUH</v>
          </cell>
          <cell r="F189" t="str">
            <v>AM</v>
          </cell>
          <cell r="H189">
            <v>160</v>
          </cell>
          <cell r="I189">
            <v>41000</v>
          </cell>
        </row>
        <row r="190">
          <cell r="A190">
            <v>44256</v>
          </cell>
          <cell r="B190" t="str">
            <v>Haifa Alawi</v>
          </cell>
          <cell r="E190" t="str">
            <v>KA-AUH</v>
          </cell>
          <cell r="F190" t="str">
            <v>AM</v>
          </cell>
          <cell r="H190">
            <v>0</v>
          </cell>
          <cell r="I190">
            <v>0</v>
          </cell>
        </row>
        <row r="191">
          <cell r="A191">
            <v>44256</v>
          </cell>
          <cell r="B191" t="str">
            <v>Osman Basuleman</v>
          </cell>
          <cell r="E191" t="str">
            <v>KA-AUH</v>
          </cell>
          <cell r="F191" t="str">
            <v>AM</v>
          </cell>
          <cell r="H191">
            <v>160</v>
          </cell>
          <cell r="I191">
            <v>50000</v>
          </cell>
        </row>
        <row r="192">
          <cell r="A192">
            <v>44256</v>
          </cell>
          <cell r="B192" t="str">
            <v>Tamer AlMahameed</v>
          </cell>
          <cell r="E192" t="str">
            <v>KA-AUH</v>
          </cell>
          <cell r="F192" t="str">
            <v>AM</v>
          </cell>
          <cell r="H192">
            <v>160</v>
          </cell>
          <cell r="I192">
            <v>41000</v>
          </cell>
        </row>
        <row r="193">
          <cell r="A193">
            <v>44256</v>
          </cell>
          <cell r="B193" t="str">
            <v>Tarek Solh</v>
          </cell>
          <cell r="E193" t="str">
            <v>KA-AUH</v>
          </cell>
          <cell r="F193" t="str">
            <v>AM</v>
          </cell>
          <cell r="H193">
            <v>160</v>
          </cell>
          <cell r="I193">
            <v>100000</v>
          </cell>
        </row>
        <row r="194">
          <cell r="A194">
            <v>44256</v>
          </cell>
          <cell r="B194" t="str">
            <v>Mazen Adem</v>
          </cell>
          <cell r="E194" t="str">
            <v>KA</v>
          </cell>
          <cell r="F194" t="str">
            <v>D</v>
          </cell>
          <cell r="H194">
            <v>500</v>
          </cell>
          <cell r="I194">
            <v>171429</v>
          </cell>
        </row>
        <row r="195">
          <cell r="A195">
            <v>44256</v>
          </cell>
          <cell r="B195" t="str">
            <v>Abdel Azim Sharabati</v>
          </cell>
          <cell r="E195" t="str">
            <v>KA</v>
          </cell>
          <cell r="F195" t="str">
            <v>AM</v>
          </cell>
          <cell r="H195">
            <v>110</v>
          </cell>
          <cell r="I195">
            <v>22240</v>
          </cell>
        </row>
        <row r="196">
          <cell r="A196">
            <v>44256</v>
          </cell>
          <cell r="B196" t="str">
            <v>Abraham Cherian</v>
          </cell>
          <cell r="E196" t="str">
            <v>KA</v>
          </cell>
          <cell r="F196" t="str">
            <v>AM</v>
          </cell>
          <cell r="H196">
            <v>60</v>
          </cell>
          <cell r="I196">
            <v>23000</v>
          </cell>
        </row>
        <row r="197">
          <cell r="A197">
            <v>44256</v>
          </cell>
          <cell r="B197" t="str">
            <v>Arjun Subaraman</v>
          </cell>
          <cell r="E197" t="str">
            <v>KA</v>
          </cell>
          <cell r="F197" t="str">
            <v>AM</v>
          </cell>
          <cell r="H197">
            <v>50</v>
          </cell>
          <cell r="I197">
            <v>60000</v>
          </cell>
        </row>
        <row r="198">
          <cell r="A198">
            <v>44256</v>
          </cell>
          <cell r="B198" t="str">
            <v>Ghassan Fouany</v>
          </cell>
          <cell r="E198" t="str">
            <v>KA</v>
          </cell>
          <cell r="F198" t="str">
            <v>AM</v>
          </cell>
          <cell r="H198">
            <v>120</v>
          </cell>
          <cell r="I198">
            <v>20049</v>
          </cell>
        </row>
        <row r="199">
          <cell r="A199">
            <v>44256</v>
          </cell>
          <cell r="B199" t="str">
            <v>Inayat Fazili</v>
          </cell>
          <cell r="E199" t="str">
            <v>KA</v>
          </cell>
          <cell r="F199" t="str">
            <v>AM</v>
          </cell>
          <cell r="H199">
            <v>120</v>
          </cell>
          <cell r="I199">
            <v>22140</v>
          </cell>
        </row>
        <row r="200">
          <cell r="A200">
            <v>44256</v>
          </cell>
          <cell r="B200" t="str">
            <v>Khawla Almansoori</v>
          </cell>
          <cell r="E200" t="str">
            <v>KA</v>
          </cell>
          <cell r="F200" t="str">
            <v>AM</v>
          </cell>
          <cell r="H200">
            <v>40</v>
          </cell>
          <cell r="I200">
            <v>24000</v>
          </cell>
        </row>
        <row r="201">
          <cell r="A201">
            <v>44256</v>
          </cell>
          <cell r="B201" t="str">
            <v>Hamzah Nofal</v>
          </cell>
          <cell r="E201" t="str">
            <v>RCOGM</v>
          </cell>
          <cell r="F201" t="str">
            <v>D</v>
          </cell>
          <cell r="H201">
            <v>958.42815476140709</v>
          </cell>
          <cell r="I201">
            <v>175587.15876162879</v>
          </cell>
        </row>
        <row r="202">
          <cell r="A202">
            <v>44256</v>
          </cell>
          <cell r="B202" t="str">
            <v>Ali Alzarooni</v>
          </cell>
          <cell r="E202" t="str">
            <v>RCOGM</v>
          </cell>
          <cell r="F202" t="str">
            <v>AM</v>
          </cell>
          <cell r="H202">
            <v>77.710390926600567</v>
          </cell>
          <cell r="I202">
            <v>12500</v>
          </cell>
        </row>
        <row r="203">
          <cell r="A203">
            <v>44256</v>
          </cell>
          <cell r="B203" t="str">
            <v>Ali Shahin</v>
          </cell>
          <cell r="E203" t="str">
            <v>RCOGM</v>
          </cell>
          <cell r="F203" t="str">
            <v>AM</v>
          </cell>
          <cell r="H203">
            <v>103.61385456880076</v>
          </cell>
          <cell r="I203">
            <v>8400</v>
          </cell>
        </row>
        <row r="204">
          <cell r="A204">
            <v>44256</v>
          </cell>
          <cell r="B204" t="str">
            <v>Meerza Ramjeed</v>
          </cell>
          <cell r="E204" t="str">
            <v>RCOGM</v>
          </cell>
          <cell r="F204" t="str">
            <v>AM</v>
          </cell>
          <cell r="H204">
            <v>51.806927284400381</v>
          </cell>
          <cell r="I204">
            <v>21000</v>
          </cell>
        </row>
        <row r="205">
          <cell r="A205">
            <v>44256</v>
          </cell>
          <cell r="B205" t="str">
            <v>Mohamad Labban</v>
          </cell>
          <cell r="E205" t="str">
            <v>RCOGM</v>
          </cell>
          <cell r="F205" t="str">
            <v>AM</v>
          </cell>
          <cell r="H205">
            <v>103.61385456880076</v>
          </cell>
          <cell r="I205">
            <v>8400</v>
          </cell>
        </row>
        <row r="206">
          <cell r="A206">
            <v>44256</v>
          </cell>
          <cell r="B206" t="str">
            <v>Mohamed Kishk</v>
          </cell>
          <cell r="E206" t="str">
            <v>RCOGM</v>
          </cell>
          <cell r="F206" t="str">
            <v>AM</v>
          </cell>
          <cell r="H206">
            <v>77.710390926600567</v>
          </cell>
          <cell r="I206">
            <v>12500</v>
          </cell>
        </row>
        <row r="207">
          <cell r="A207">
            <v>44256</v>
          </cell>
          <cell r="B207" t="str">
            <v>Mohd Sheikh Salem</v>
          </cell>
          <cell r="E207" t="str">
            <v>RCOGM</v>
          </cell>
          <cell r="F207" t="str">
            <v>AM</v>
          </cell>
          <cell r="H207">
            <v>103.61385456880076</v>
          </cell>
          <cell r="I207">
            <v>8400</v>
          </cell>
        </row>
        <row r="208">
          <cell r="A208">
            <v>44256</v>
          </cell>
          <cell r="B208" t="str">
            <v>Ninette Hajjar</v>
          </cell>
          <cell r="E208" t="str">
            <v>RCOGM</v>
          </cell>
          <cell r="F208" t="str">
            <v>AM</v>
          </cell>
          <cell r="H208">
            <v>25.90346364220019</v>
          </cell>
          <cell r="I208">
            <v>39987</v>
          </cell>
        </row>
        <row r="209">
          <cell r="A209">
            <v>44256</v>
          </cell>
          <cell r="B209" t="str">
            <v>Ram Arya</v>
          </cell>
          <cell r="E209" t="str">
            <v>RCOGM</v>
          </cell>
          <cell r="F209" t="str">
            <v>AM</v>
          </cell>
          <cell r="H209">
            <v>77.710390926600567</v>
          </cell>
          <cell r="I209">
            <v>12500</v>
          </cell>
        </row>
        <row r="210">
          <cell r="A210">
            <v>44256</v>
          </cell>
          <cell r="B210" t="str">
            <v>Sana Shaikh</v>
          </cell>
          <cell r="E210" t="str">
            <v>RCOGM</v>
          </cell>
          <cell r="F210" t="str">
            <v>AM</v>
          </cell>
          <cell r="H210">
            <v>51.806927284400381</v>
          </cell>
          <cell r="I210">
            <v>5000</v>
          </cell>
        </row>
        <row r="211">
          <cell r="A211">
            <v>44256</v>
          </cell>
          <cell r="B211" t="str">
            <v>Shabbir Lacewala</v>
          </cell>
          <cell r="E211" t="str">
            <v>RCOGM</v>
          </cell>
          <cell r="F211" t="str">
            <v>AM</v>
          </cell>
          <cell r="H211">
            <v>51.806927284400381</v>
          </cell>
          <cell r="I211">
            <v>21000</v>
          </cell>
        </row>
        <row r="212">
          <cell r="A212">
            <v>44256</v>
          </cell>
          <cell r="B212" t="str">
            <v>Shadab Sheikh</v>
          </cell>
          <cell r="E212" t="str">
            <v>RCOGM</v>
          </cell>
          <cell r="F212" t="str">
            <v>AM</v>
          </cell>
          <cell r="H212">
            <v>51.806927284400381</v>
          </cell>
          <cell r="I212">
            <v>5000</v>
          </cell>
        </row>
        <row r="213">
          <cell r="A213">
            <v>44256</v>
          </cell>
          <cell r="B213" t="str">
            <v>Syed Atif</v>
          </cell>
          <cell r="E213" t="str">
            <v>RCOGM</v>
          </cell>
          <cell r="F213" t="str">
            <v>AM</v>
          </cell>
          <cell r="H213">
            <v>52</v>
          </cell>
          <cell r="I213">
            <v>5000</v>
          </cell>
        </row>
        <row r="214">
          <cell r="A214">
            <v>44256</v>
          </cell>
          <cell r="B214" t="str">
            <v>Vandana Dubey</v>
          </cell>
          <cell r="E214" t="str">
            <v>RCOGM</v>
          </cell>
          <cell r="F214" t="str">
            <v>AM</v>
          </cell>
          <cell r="H214">
            <v>77.710390926600567</v>
          </cell>
          <cell r="I214">
            <v>12500</v>
          </cell>
        </row>
        <row r="215">
          <cell r="A215">
            <v>44256</v>
          </cell>
          <cell r="B215" t="str">
            <v>Vineeth Augustine</v>
          </cell>
          <cell r="E215" t="str">
            <v>RCOGM</v>
          </cell>
          <cell r="F215" t="str">
            <v>AM</v>
          </cell>
          <cell r="H215">
            <v>103.61385456880076</v>
          </cell>
          <cell r="I215">
            <v>8400</v>
          </cell>
        </row>
        <row r="216">
          <cell r="A216">
            <v>44256</v>
          </cell>
          <cell r="B216" t="str">
            <v>Hany Jawee</v>
          </cell>
          <cell r="E216" t="str">
            <v>FCR</v>
          </cell>
          <cell r="F216" t="str">
            <v>D</v>
          </cell>
          <cell r="H216">
            <v>1081.5710088463175</v>
          </cell>
          <cell r="I216">
            <v>240098.36815616899</v>
          </cell>
        </row>
        <row r="217">
          <cell r="A217">
            <v>44256</v>
          </cell>
          <cell r="B217" t="str">
            <v>Amjad Ilwan</v>
          </cell>
          <cell r="E217" t="str">
            <v>FCR</v>
          </cell>
          <cell r="F217" t="str">
            <v>AM</v>
          </cell>
          <cell r="H217">
            <v>300</v>
          </cell>
          <cell r="I217">
            <v>21306.770381462</v>
          </cell>
        </row>
        <row r="218">
          <cell r="A218">
            <v>44256</v>
          </cell>
          <cell r="B218" t="str">
            <v>Eslam Hassan</v>
          </cell>
          <cell r="E218" t="str">
            <v>FCR</v>
          </cell>
          <cell r="F218" t="str">
            <v>AM</v>
          </cell>
          <cell r="H218">
            <v>25.317885731805301</v>
          </cell>
          <cell r="I218">
            <v>6747.4255978710999</v>
          </cell>
        </row>
        <row r="219">
          <cell r="A219">
            <v>44256</v>
          </cell>
          <cell r="B219" t="str">
            <v>Mansi Trivedi</v>
          </cell>
          <cell r="E219" t="str">
            <v>FCR</v>
          </cell>
          <cell r="F219" t="str">
            <v>AM</v>
          </cell>
          <cell r="H219">
            <v>29.317885731805283</v>
          </cell>
          <cell r="I219">
            <v>7460.9032014222003</v>
          </cell>
        </row>
        <row r="220">
          <cell r="A220">
            <v>44256</v>
          </cell>
          <cell r="B220" t="str">
            <v>Mohamed Mostafa</v>
          </cell>
          <cell r="E220" t="str">
            <v>FCR</v>
          </cell>
          <cell r="F220" t="str">
            <v>AM</v>
          </cell>
          <cell r="H220">
            <v>69.317885731805305</v>
          </cell>
          <cell r="I220">
            <v>21747.425597871101</v>
          </cell>
        </row>
        <row r="221">
          <cell r="A221">
            <v>44256</v>
          </cell>
          <cell r="B221" t="str">
            <v>Mohamed Reda</v>
          </cell>
          <cell r="E221" t="str">
            <v>FCR</v>
          </cell>
          <cell r="F221" t="str">
            <v>AM</v>
          </cell>
          <cell r="H221">
            <v>128.554042619678</v>
          </cell>
          <cell r="I221">
            <v>20118.085634213701</v>
          </cell>
        </row>
        <row r="222">
          <cell r="A222">
            <v>44256</v>
          </cell>
          <cell r="B222" t="str">
            <v>Nadeem Rasheed</v>
          </cell>
          <cell r="E222" t="str">
            <v>FCR</v>
          </cell>
          <cell r="F222" t="str">
            <v>AM</v>
          </cell>
          <cell r="H222">
            <v>49.317885731805298</v>
          </cell>
          <cell r="I222">
            <v>21747.425597871101</v>
          </cell>
        </row>
        <row r="223">
          <cell r="A223">
            <v>44256</v>
          </cell>
          <cell r="B223" t="str">
            <v>Othman Hassan</v>
          </cell>
          <cell r="E223" t="str">
            <v>FCR</v>
          </cell>
          <cell r="F223" t="str">
            <v>AM</v>
          </cell>
          <cell r="H223">
            <v>29.512037820623402</v>
          </cell>
          <cell r="I223">
            <v>6460.9032014222003</v>
          </cell>
        </row>
        <row r="224">
          <cell r="A224">
            <v>44256</v>
          </cell>
          <cell r="B224" t="str">
            <v>Rahul Raina</v>
          </cell>
          <cell r="E224" t="str">
            <v>FCR</v>
          </cell>
          <cell r="F224" t="str">
            <v>AM</v>
          </cell>
          <cell r="H224">
            <v>29.317885731805283</v>
          </cell>
          <cell r="I224">
            <v>21306.770381462</v>
          </cell>
        </row>
        <row r="225">
          <cell r="A225">
            <v>44256</v>
          </cell>
          <cell r="B225" t="str">
            <v>Ranjith Chandran</v>
          </cell>
          <cell r="E225" t="str">
            <v>FCR</v>
          </cell>
          <cell r="F225" t="str">
            <v>AM</v>
          </cell>
          <cell r="H225">
            <v>29.317885731805283</v>
          </cell>
          <cell r="I225">
            <v>4723</v>
          </cell>
        </row>
        <row r="226">
          <cell r="A226">
            <v>44256</v>
          </cell>
          <cell r="B226" t="str">
            <v>Richard Chandy</v>
          </cell>
          <cell r="E226" t="str">
            <v>FCR</v>
          </cell>
          <cell r="F226" t="str">
            <v>AM</v>
          </cell>
          <cell r="H226">
            <v>68.985220116405998</v>
          </cell>
          <cell r="I226">
            <v>16747.425597871101</v>
          </cell>
        </row>
        <row r="227">
          <cell r="A227">
            <v>44256</v>
          </cell>
          <cell r="B227" t="str">
            <v>Rijith Menon</v>
          </cell>
          <cell r="E227" t="str">
            <v>FCR</v>
          </cell>
          <cell r="F227" t="str">
            <v>AM</v>
          </cell>
          <cell r="H227">
            <v>71.510893997541601</v>
          </cell>
          <cell r="I227">
            <v>16747.425597871101</v>
          </cell>
        </row>
        <row r="228">
          <cell r="A228">
            <v>44256</v>
          </cell>
          <cell r="B228" t="str">
            <v>Rima Al Safadi</v>
          </cell>
          <cell r="E228" t="str">
            <v>FCR</v>
          </cell>
          <cell r="F228" t="str">
            <v>AM</v>
          </cell>
          <cell r="H228">
            <v>39.317885731805298</v>
          </cell>
          <cell r="I228">
            <v>11747.425597871101</v>
          </cell>
        </row>
        <row r="229">
          <cell r="A229">
            <v>44256</v>
          </cell>
          <cell r="B229" t="str">
            <v>Salman Amir</v>
          </cell>
          <cell r="E229" t="str">
            <v>FCR</v>
          </cell>
          <cell r="F229" t="str">
            <v>AM</v>
          </cell>
          <cell r="H229">
            <v>25.150448265935001</v>
          </cell>
          <cell r="I229">
            <v>6742.4255978710999</v>
          </cell>
        </row>
        <row r="230">
          <cell r="A230">
            <v>44256</v>
          </cell>
          <cell r="B230" t="str">
            <v>Simon Williams</v>
          </cell>
          <cell r="E230" t="str">
            <v>FCR</v>
          </cell>
          <cell r="F230" t="str">
            <v>AM</v>
          </cell>
          <cell r="H230">
            <v>158</v>
          </cell>
          <cell r="I230">
            <v>39747.425597871101</v>
          </cell>
        </row>
        <row r="231">
          <cell r="A231">
            <v>44256</v>
          </cell>
          <cell r="B231" t="str">
            <v>Usman Zafar Sipra</v>
          </cell>
          <cell r="E231" t="str">
            <v>FCR</v>
          </cell>
          <cell r="F231" t="str">
            <v>AM</v>
          </cell>
          <cell r="H231">
            <v>29.317885731805301</v>
          </cell>
          <cell r="I231">
            <v>16747.425597871101</v>
          </cell>
        </row>
        <row r="232">
          <cell r="A232">
            <v>44256</v>
          </cell>
          <cell r="B232" t="str">
            <v>Maitha Bin Malek</v>
          </cell>
          <cell r="E232" t="str">
            <v>HHTT</v>
          </cell>
          <cell r="F232" t="str">
            <v>D</v>
          </cell>
          <cell r="H232">
            <v>691.11882158680498</v>
          </cell>
          <cell r="I232">
            <v>181077.47445478116</v>
          </cell>
        </row>
        <row r="233">
          <cell r="A233">
            <v>44256</v>
          </cell>
          <cell r="B233" t="str">
            <v>Abdelouahab Belamri</v>
          </cell>
          <cell r="E233" t="str">
            <v>HHTT</v>
          </cell>
          <cell r="F233" t="str">
            <v>AM</v>
          </cell>
          <cell r="H233">
            <v>55</v>
          </cell>
          <cell r="I233">
            <v>12000</v>
          </cell>
        </row>
        <row r="234">
          <cell r="A234">
            <v>44256</v>
          </cell>
          <cell r="B234" t="str">
            <v>Bashar Al Adilee</v>
          </cell>
          <cell r="E234" t="str">
            <v>HHTT</v>
          </cell>
          <cell r="F234" t="str">
            <v>AM</v>
          </cell>
          <cell r="H234">
            <v>80</v>
          </cell>
          <cell r="I234">
            <v>18000</v>
          </cell>
        </row>
        <row r="235">
          <cell r="A235">
            <v>44256</v>
          </cell>
          <cell r="B235" t="str">
            <v>Favas Kurinhilayil</v>
          </cell>
          <cell r="E235" t="str">
            <v>HHTT</v>
          </cell>
          <cell r="F235" t="str">
            <v>AM</v>
          </cell>
          <cell r="H235">
            <v>99</v>
          </cell>
          <cell r="I235">
            <v>9000</v>
          </cell>
        </row>
        <row r="236">
          <cell r="A236">
            <v>44256</v>
          </cell>
          <cell r="B236" t="str">
            <v>Feroz Shaikh</v>
          </cell>
          <cell r="E236" t="str">
            <v>HHTT</v>
          </cell>
          <cell r="F236" t="str">
            <v>AM</v>
          </cell>
          <cell r="H236">
            <v>95</v>
          </cell>
          <cell r="I236">
            <v>7000</v>
          </cell>
        </row>
        <row r="237">
          <cell r="A237">
            <v>44256</v>
          </cell>
          <cell r="B237" t="str">
            <v>Hasa Alharthi</v>
          </cell>
          <cell r="E237" t="str">
            <v>HHTT</v>
          </cell>
          <cell r="F237" t="str">
            <v>AM</v>
          </cell>
          <cell r="H237">
            <v>35</v>
          </cell>
          <cell r="I237">
            <v>6500</v>
          </cell>
        </row>
        <row r="238">
          <cell r="A238">
            <v>44256</v>
          </cell>
          <cell r="B238" t="str">
            <v>Iqbal Hussain</v>
          </cell>
          <cell r="E238" t="str">
            <v>HHTT</v>
          </cell>
          <cell r="F238" t="str">
            <v>AM</v>
          </cell>
          <cell r="H238">
            <v>40</v>
          </cell>
          <cell r="I238">
            <v>12000</v>
          </cell>
        </row>
        <row r="239">
          <cell r="A239">
            <v>44256</v>
          </cell>
          <cell r="B239" t="str">
            <v>Ramez Al Alami</v>
          </cell>
          <cell r="E239" t="str">
            <v>HHTT</v>
          </cell>
          <cell r="F239" t="str">
            <v>AM</v>
          </cell>
          <cell r="H239">
            <v>67</v>
          </cell>
          <cell r="I239">
            <v>10000</v>
          </cell>
        </row>
        <row r="240">
          <cell r="A240">
            <v>44256</v>
          </cell>
          <cell r="B240" t="str">
            <v>Muhammad Nauman Khan</v>
          </cell>
          <cell r="E240" t="str">
            <v>HHTT</v>
          </cell>
          <cell r="F240" t="str">
            <v>AM</v>
          </cell>
          <cell r="H240">
            <v>50</v>
          </cell>
          <cell r="I240">
            <v>43000</v>
          </cell>
        </row>
        <row r="241">
          <cell r="A241">
            <v>44256</v>
          </cell>
          <cell r="B241" t="str">
            <v>Mushahid Hussain Syed</v>
          </cell>
          <cell r="E241" t="str">
            <v>HHTT</v>
          </cell>
          <cell r="F241" t="str">
            <v>AM</v>
          </cell>
          <cell r="H241">
            <v>70</v>
          </cell>
          <cell r="I241">
            <v>22000</v>
          </cell>
        </row>
        <row r="242">
          <cell r="A242">
            <v>44256</v>
          </cell>
          <cell r="B242" t="str">
            <v>Osama ElWawi</v>
          </cell>
          <cell r="E242" t="str">
            <v>HHTT</v>
          </cell>
          <cell r="F242" t="str">
            <v>AM</v>
          </cell>
          <cell r="H242">
            <v>99</v>
          </cell>
          <cell r="I242">
            <v>24000</v>
          </cell>
        </row>
        <row r="243">
          <cell r="A243">
            <v>44256</v>
          </cell>
          <cell r="B243" t="str">
            <v>Ramy Abdel Fattah</v>
          </cell>
          <cell r="E243" t="str">
            <v>HHTT</v>
          </cell>
          <cell r="F243" t="str">
            <v>AM</v>
          </cell>
          <cell r="H243">
            <v>45</v>
          </cell>
          <cell r="I243">
            <v>20000</v>
          </cell>
        </row>
        <row r="244">
          <cell r="A244">
            <v>44256</v>
          </cell>
          <cell r="B244" t="str">
            <v>Atef Kassem</v>
          </cell>
          <cell r="E244" t="str">
            <v>HHTT</v>
          </cell>
          <cell r="F244" t="str">
            <v>AM</v>
          </cell>
          <cell r="H244">
            <v>25</v>
          </cell>
          <cell r="I244">
            <v>6500</v>
          </cell>
        </row>
        <row r="245">
          <cell r="A245">
            <v>44256</v>
          </cell>
          <cell r="B245" t="str">
            <v>Mustafa Shalabi</v>
          </cell>
          <cell r="E245" t="str">
            <v>TME</v>
          </cell>
          <cell r="F245" t="str">
            <v>D</v>
          </cell>
          <cell r="H245">
            <v>1521.5883552994374</v>
          </cell>
          <cell r="I245">
            <v>303236.99862742104</v>
          </cell>
        </row>
        <row r="246">
          <cell r="A246">
            <v>44256</v>
          </cell>
          <cell r="B246" t="str">
            <v>Aamir Mir</v>
          </cell>
          <cell r="E246" t="str">
            <v>TME</v>
          </cell>
          <cell r="F246" t="str">
            <v>AM</v>
          </cell>
          <cell r="H246">
            <v>96</v>
          </cell>
          <cell r="I246">
            <v>11850</v>
          </cell>
        </row>
        <row r="247">
          <cell r="A247">
            <v>44256</v>
          </cell>
          <cell r="B247" t="str">
            <v>Ahmed AlShehhi</v>
          </cell>
          <cell r="E247" t="str">
            <v>TME</v>
          </cell>
          <cell r="F247" t="str">
            <v>AM</v>
          </cell>
          <cell r="H247">
            <v>75</v>
          </cell>
          <cell r="I247">
            <v>9850</v>
          </cell>
        </row>
        <row r="248">
          <cell r="A248">
            <v>44256</v>
          </cell>
          <cell r="B248" t="str">
            <v>Amna Salem</v>
          </cell>
          <cell r="E248" t="str">
            <v>TME</v>
          </cell>
          <cell r="F248" t="str">
            <v>AM</v>
          </cell>
          <cell r="H248">
            <v>75</v>
          </cell>
          <cell r="I248">
            <v>9850</v>
          </cell>
        </row>
        <row r="249">
          <cell r="A249">
            <v>44256</v>
          </cell>
          <cell r="B249" t="str">
            <v>Anastasia Maltseva</v>
          </cell>
          <cell r="E249" t="str">
            <v>TME</v>
          </cell>
          <cell r="F249" t="str">
            <v>AM</v>
          </cell>
          <cell r="H249">
            <v>75</v>
          </cell>
          <cell r="I249">
            <v>9850</v>
          </cell>
        </row>
        <row r="250">
          <cell r="A250">
            <v>44256</v>
          </cell>
          <cell r="B250" t="str">
            <v>Basheer Razak</v>
          </cell>
          <cell r="E250" t="str">
            <v>TME</v>
          </cell>
          <cell r="F250" t="str">
            <v>AM</v>
          </cell>
          <cell r="H250">
            <v>96</v>
          </cell>
          <cell r="I250">
            <v>137850</v>
          </cell>
        </row>
        <row r="251">
          <cell r="A251">
            <v>44256</v>
          </cell>
          <cell r="B251" t="str">
            <v>Ehab Hajou</v>
          </cell>
          <cell r="E251" t="str">
            <v>TME</v>
          </cell>
          <cell r="F251" t="str">
            <v>AM</v>
          </cell>
          <cell r="H251">
            <v>96</v>
          </cell>
          <cell r="I251">
            <v>12850</v>
          </cell>
        </row>
        <row r="252">
          <cell r="A252">
            <v>44256</v>
          </cell>
          <cell r="B252" t="str">
            <v>Fadi Saleh</v>
          </cell>
          <cell r="E252" t="str">
            <v>TME</v>
          </cell>
          <cell r="F252" t="str">
            <v>AM</v>
          </cell>
          <cell r="H252">
            <v>96</v>
          </cell>
          <cell r="I252">
            <v>22850</v>
          </cell>
        </row>
        <row r="253">
          <cell r="A253">
            <v>44256</v>
          </cell>
          <cell r="B253" t="str">
            <v>Farha Hameed</v>
          </cell>
          <cell r="E253" t="str">
            <v>TME</v>
          </cell>
          <cell r="F253" t="str">
            <v>AM</v>
          </cell>
          <cell r="H253">
            <v>96</v>
          </cell>
          <cell r="I253">
            <v>12850</v>
          </cell>
        </row>
        <row r="254">
          <cell r="A254">
            <v>44256</v>
          </cell>
          <cell r="B254" t="str">
            <v>Jeevantha Ranasinghe</v>
          </cell>
          <cell r="E254" t="str">
            <v>TME</v>
          </cell>
          <cell r="F254" t="str">
            <v>AM</v>
          </cell>
          <cell r="H254">
            <v>96</v>
          </cell>
          <cell r="I254">
            <v>12850</v>
          </cell>
        </row>
        <row r="255">
          <cell r="A255">
            <v>44256</v>
          </cell>
          <cell r="B255" t="str">
            <v>Mahmood Murad</v>
          </cell>
          <cell r="E255" t="str">
            <v>TME</v>
          </cell>
          <cell r="F255" t="str">
            <v>AM</v>
          </cell>
          <cell r="H255">
            <v>96</v>
          </cell>
          <cell r="I255">
            <v>11850</v>
          </cell>
        </row>
        <row r="256">
          <cell r="A256">
            <v>44256</v>
          </cell>
          <cell r="B256" t="str">
            <v>Majid Abdulla</v>
          </cell>
          <cell r="E256" t="str">
            <v>TME</v>
          </cell>
          <cell r="F256" t="str">
            <v>AM</v>
          </cell>
          <cell r="H256">
            <v>96</v>
          </cell>
          <cell r="I256">
            <v>11850</v>
          </cell>
        </row>
        <row r="257">
          <cell r="A257">
            <v>44256</v>
          </cell>
          <cell r="B257" t="str">
            <v>Mohamed Abdelkhalek</v>
          </cell>
          <cell r="E257" t="str">
            <v>TME</v>
          </cell>
          <cell r="F257" t="str">
            <v>AM</v>
          </cell>
          <cell r="H257">
            <v>96</v>
          </cell>
          <cell r="I257">
            <v>37850</v>
          </cell>
        </row>
        <row r="258">
          <cell r="A258">
            <v>44256</v>
          </cell>
          <cell r="B258" t="str">
            <v>Khalid Mohammed</v>
          </cell>
          <cell r="E258" t="str">
            <v>TME</v>
          </cell>
          <cell r="F258" t="str">
            <v>AM</v>
          </cell>
          <cell r="H258">
            <v>490</v>
          </cell>
          <cell r="I258">
            <v>5950</v>
          </cell>
        </row>
        <row r="259">
          <cell r="A259">
            <v>44256</v>
          </cell>
          <cell r="B259" t="str">
            <v>Suleiman Wanni</v>
          </cell>
          <cell r="E259" t="str">
            <v>TME</v>
          </cell>
          <cell r="F259" t="str">
            <v>AM</v>
          </cell>
          <cell r="H259">
            <v>96</v>
          </cell>
          <cell r="I259">
            <v>31850</v>
          </cell>
        </row>
        <row r="260">
          <cell r="A260">
            <v>44287</v>
          </cell>
          <cell r="B260" t="str">
            <v>Maitha Bin Malek</v>
          </cell>
          <cell r="E260" t="str">
            <v>HHTT</v>
          </cell>
          <cell r="F260" t="str">
            <v>D</v>
          </cell>
          <cell r="H260">
            <v>766</v>
          </cell>
          <cell r="I260">
            <v>135200</v>
          </cell>
        </row>
        <row r="261">
          <cell r="A261">
            <v>44287</v>
          </cell>
          <cell r="B261" t="str">
            <v>Abdelouahab Belamri</v>
          </cell>
          <cell r="E261" t="str">
            <v>HHTT</v>
          </cell>
          <cell r="F261" t="str">
            <v>AM</v>
          </cell>
          <cell r="H261">
            <v>80</v>
          </cell>
          <cell r="I261">
            <v>15673</v>
          </cell>
        </row>
        <row r="262">
          <cell r="A262">
            <v>44287</v>
          </cell>
          <cell r="B262" t="str">
            <v>Atef Kassem</v>
          </cell>
          <cell r="E262" t="str">
            <v>HHTT</v>
          </cell>
          <cell r="F262" t="str">
            <v>AM</v>
          </cell>
          <cell r="H262">
            <v>38</v>
          </cell>
          <cell r="I262">
            <v>9000</v>
          </cell>
        </row>
        <row r="263">
          <cell r="A263">
            <v>44287</v>
          </cell>
          <cell r="B263" t="str">
            <v>Bashar Al Adilee</v>
          </cell>
          <cell r="E263" t="str">
            <v>HHTT</v>
          </cell>
          <cell r="F263" t="str">
            <v>AM</v>
          </cell>
          <cell r="H263">
            <v>80</v>
          </cell>
          <cell r="I263">
            <v>9000</v>
          </cell>
        </row>
        <row r="264">
          <cell r="A264">
            <v>44287</v>
          </cell>
          <cell r="B264" t="str">
            <v>Favas Kurinhilayil</v>
          </cell>
          <cell r="E264" t="str">
            <v>HHTT</v>
          </cell>
          <cell r="F264" t="str">
            <v>AM</v>
          </cell>
          <cell r="H264">
            <v>80</v>
          </cell>
          <cell r="I264">
            <v>10545.140892099269</v>
          </cell>
        </row>
        <row r="265">
          <cell r="A265">
            <v>44287</v>
          </cell>
          <cell r="B265" t="str">
            <v>Feroz Shaikh</v>
          </cell>
          <cell r="E265" t="str">
            <v>HHTT</v>
          </cell>
          <cell r="F265" t="str">
            <v>AM</v>
          </cell>
          <cell r="H265">
            <v>65</v>
          </cell>
          <cell r="I265">
            <v>9000</v>
          </cell>
        </row>
        <row r="266">
          <cell r="A266">
            <v>44287</v>
          </cell>
          <cell r="B266" t="str">
            <v>Hasa Alharthi</v>
          </cell>
          <cell r="E266" t="str">
            <v>HHTT</v>
          </cell>
          <cell r="F266" t="str">
            <v>AM</v>
          </cell>
          <cell r="H266">
            <v>41</v>
          </cell>
          <cell r="I266">
            <v>9000</v>
          </cell>
        </row>
        <row r="267">
          <cell r="A267">
            <v>44287</v>
          </cell>
          <cell r="B267" t="str">
            <v>Iqbal Hussain</v>
          </cell>
          <cell r="E267" t="str">
            <v>HHTT</v>
          </cell>
          <cell r="F267" t="str">
            <v>AM</v>
          </cell>
          <cell r="H267">
            <v>52</v>
          </cell>
          <cell r="I267">
            <v>9000</v>
          </cell>
        </row>
        <row r="268">
          <cell r="A268">
            <v>44287</v>
          </cell>
          <cell r="B268" t="str">
            <v>Muhammad Nauman Khan</v>
          </cell>
          <cell r="E268" t="str">
            <v>HHTT</v>
          </cell>
          <cell r="F268" t="str">
            <v>AM</v>
          </cell>
          <cell r="H268">
            <v>65</v>
          </cell>
          <cell r="I268">
            <v>13000</v>
          </cell>
        </row>
        <row r="269">
          <cell r="A269">
            <v>44287</v>
          </cell>
          <cell r="B269" t="str">
            <v>Mushahid Hussain Syed</v>
          </cell>
          <cell r="E269" t="str">
            <v>HHTT</v>
          </cell>
          <cell r="F269" t="str">
            <v>AM</v>
          </cell>
          <cell r="H269">
            <v>62</v>
          </cell>
          <cell r="I269">
            <v>13500</v>
          </cell>
        </row>
        <row r="270">
          <cell r="A270">
            <v>44287</v>
          </cell>
          <cell r="B270" t="str">
            <v>Osama ElWawi</v>
          </cell>
          <cell r="E270" t="str">
            <v>HHTT</v>
          </cell>
          <cell r="F270" t="str">
            <v>AM</v>
          </cell>
          <cell r="H270">
            <v>80</v>
          </cell>
          <cell r="I270">
            <v>9000</v>
          </cell>
        </row>
        <row r="271">
          <cell r="A271">
            <v>44287</v>
          </cell>
          <cell r="B271" t="str">
            <v>Ramez Al Alami</v>
          </cell>
          <cell r="E271" t="str">
            <v>HHTT</v>
          </cell>
          <cell r="F271" t="str">
            <v>AM</v>
          </cell>
          <cell r="H271">
            <v>65</v>
          </cell>
          <cell r="I271">
            <v>14981.73977450143</v>
          </cell>
        </row>
        <row r="272">
          <cell r="A272">
            <v>44287</v>
          </cell>
          <cell r="B272" t="str">
            <v>Ramy Abdel Fattah</v>
          </cell>
          <cell r="E272" t="str">
            <v>HHTT</v>
          </cell>
          <cell r="F272" t="str">
            <v>AM</v>
          </cell>
          <cell r="H272">
            <v>58</v>
          </cell>
          <cell r="I272">
            <v>13500</v>
          </cell>
        </row>
        <row r="273">
          <cell r="A273">
            <v>44287</v>
          </cell>
          <cell r="B273" t="str">
            <v>Mustafa Shalabi</v>
          </cell>
          <cell r="E273" t="str">
            <v>TME</v>
          </cell>
          <cell r="F273" t="str">
            <v>D</v>
          </cell>
          <cell r="H273">
            <v>1326</v>
          </cell>
          <cell r="I273">
            <v>389466.66666666669</v>
          </cell>
        </row>
        <row r="274">
          <cell r="A274">
            <v>44287</v>
          </cell>
          <cell r="B274" t="str">
            <v>Aamir Mir</v>
          </cell>
          <cell r="E274" t="str">
            <v>TME</v>
          </cell>
          <cell r="F274" t="str">
            <v>AM</v>
          </cell>
          <cell r="H274">
            <v>50</v>
          </cell>
          <cell r="I274">
            <v>5000</v>
          </cell>
        </row>
        <row r="275">
          <cell r="A275">
            <v>44287</v>
          </cell>
          <cell r="B275" t="str">
            <v>Ahmed AlShehhi</v>
          </cell>
          <cell r="E275" t="str">
            <v>TME</v>
          </cell>
          <cell r="F275" t="str">
            <v>AM</v>
          </cell>
          <cell r="H275">
            <v>58</v>
          </cell>
          <cell r="I275">
            <v>12700</v>
          </cell>
        </row>
        <row r="276">
          <cell r="A276">
            <v>44287</v>
          </cell>
          <cell r="B276" t="str">
            <v>Amna Salem</v>
          </cell>
          <cell r="E276" t="str">
            <v>TME</v>
          </cell>
          <cell r="F276" t="str">
            <v>AM</v>
          </cell>
          <cell r="H276">
            <v>58</v>
          </cell>
          <cell r="I276">
            <v>12700</v>
          </cell>
        </row>
        <row r="277">
          <cell r="A277">
            <v>44287</v>
          </cell>
          <cell r="B277" t="str">
            <v>Anastasia Maltseva</v>
          </cell>
          <cell r="E277" t="str">
            <v>TME</v>
          </cell>
          <cell r="F277" t="str">
            <v>AM</v>
          </cell>
          <cell r="H277">
            <v>58</v>
          </cell>
          <cell r="I277">
            <v>12700</v>
          </cell>
        </row>
        <row r="278">
          <cell r="A278">
            <v>44287</v>
          </cell>
          <cell r="B278" t="str">
            <v>Lana Alzawawi</v>
          </cell>
          <cell r="E278" t="str">
            <v>TME</v>
          </cell>
          <cell r="F278" t="str">
            <v>AM</v>
          </cell>
          <cell r="H278">
            <v>35</v>
          </cell>
          <cell r="I278">
            <v>64467</v>
          </cell>
        </row>
        <row r="279">
          <cell r="A279">
            <v>44287</v>
          </cell>
          <cell r="B279" t="str">
            <v>Ehab Hajou</v>
          </cell>
          <cell r="E279" t="str">
            <v>TME</v>
          </cell>
          <cell r="F279" t="str">
            <v>AM</v>
          </cell>
          <cell r="H279">
            <v>175</v>
          </cell>
          <cell r="I279">
            <v>25750</v>
          </cell>
        </row>
        <row r="280">
          <cell r="A280">
            <v>44287</v>
          </cell>
          <cell r="B280" t="str">
            <v>Fadi Saleh</v>
          </cell>
          <cell r="E280" t="str">
            <v>TME</v>
          </cell>
          <cell r="F280" t="str">
            <v>AM</v>
          </cell>
          <cell r="H280">
            <v>85</v>
          </cell>
          <cell r="I280">
            <v>25000</v>
          </cell>
        </row>
        <row r="281">
          <cell r="A281">
            <v>44287</v>
          </cell>
          <cell r="B281" t="str">
            <v>Farha Hameed</v>
          </cell>
          <cell r="E281" t="str">
            <v>TME</v>
          </cell>
          <cell r="F281" t="str">
            <v>AM</v>
          </cell>
          <cell r="H281">
            <v>85</v>
          </cell>
          <cell r="I281">
            <v>25700</v>
          </cell>
        </row>
        <row r="282">
          <cell r="A282">
            <v>44287</v>
          </cell>
          <cell r="B282" t="str">
            <v>Jeevantha Ranasinghe</v>
          </cell>
          <cell r="E282" t="str">
            <v>TME</v>
          </cell>
          <cell r="F282" t="str">
            <v>AM</v>
          </cell>
          <cell r="H282">
            <v>50</v>
          </cell>
          <cell r="I282">
            <v>12000</v>
          </cell>
        </row>
        <row r="283">
          <cell r="A283">
            <v>44287</v>
          </cell>
          <cell r="B283" t="str">
            <v>Khalid Mohammed</v>
          </cell>
          <cell r="E283" t="str">
            <v>TME</v>
          </cell>
          <cell r="F283" t="str">
            <v>AM</v>
          </cell>
          <cell r="H283">
            <v>292</v>
          </cell>
          <cell r="I283">
            <v>51800</v>
          </cell>
        </row>
        <row r="284">
          <cell r="A284">
            <v>44287</v>
          </cell>
          <cell r="B284" t="str">
            <v>Mahmood Murad</v>
          </cell>
          <cell r="E284" t="str">
            <v>TME</v>
          </cell>
          <cell r="F284" t="str">
            <v>AM</v>
          </cell>
          <cell r="H284">
            <v>85</v>
          </cell>
          <cell r="I284">
            <v>33900</v>
          </cell>
        </row>
        <row r="285">
          <cell r="A285">
            <v>44287</v>
          </cell>
          <cell r="B285" t="str">
            <v>Majid Abdulla</v>
          </cell>
          <cell r="E285" t="str">
            <v>TME</v>
          </cell>
          <cell r="F285" t="str">
            <v>AM</v>
          </cell>
          <cell r="H285">
            <v>85</v>
          </cell>
          <cell r="I285">
            <v>30250</v>
          </cell>
        </row>
        <row r="286">
          <cell r="A286">
            <v>44287</v>
          </cell>
          <cell r="B286" t="str">
            <v>Mohamed Abdelkhalek</v>
          </cell>
          <cell r="E286" t="str">
            <v>TME</v>
          </cell>
          <cell r="F286" t="str">
            <v>AM</v>
          </cell>
          <cell r="H286">
            <v>105</v>
          </cell>
          <cell r="I286">
            <v>47500</v>
          </cell>
        </row>
        <row r="287">
          <cell r="A287">
            <v>44287</v>
          </cell>
          <cell r="B287" t="str">
            <v>Suleiman Wanni</v>
          </cell>
          <cell r="E287" t="str">
            <v>TME</v>
          </cell>
          <cell r="F287" t="str">
            <v>AM</v>
          </cell>
          <cell r="H287">
            <v>105</v>
          </cell>
          <cell r="I287">
            <v>30000</v>
          </cell>
        </row>
        <row r="288">
          <cell r="A288">
            <v>44287</v>
          </cell>
          <cell r="B288" t="str">
            <v>Hany Jawee</v>
          </cell>
          <cell r="E288" t="str">
            <v>FCR</v>
          </cell>
          <cell r="F288" t="str">
            <v>D</v>
          </cell>
          <cell r="H288">
            <v>1368</v>
          </cell>
          <cell r="I288">
            <v>278266.66666666663</v>
          </cell>
        </row>
        <row r="289">
          <cell r="A289">
            <v>44287</v>
          </cell>
          <cell r="B289" t="str">
            <v>Amjad Ilwan</v>
          </cell>
          <cell r="E289" t="str">
            <v>FCR</v>
          </cell>
          <cell r="F289" t="str">
            <v>AM</v>
          </cell>
          <cell r="H289">
            <v>133.42107950773601</v>
          </cell>
          <cell r="I289">
            <v>19698.456140293099</v>
          </cell>
        </row>
        <row r="290">
          <cell r="A290">
            <v>44287</v>
          </cell>
          <cell r="B290" t="str">
            <v>Eslam Hassan</v>
          </cell>
          <cell r="E290" t="str">
            <v>FCR</v>
          </cell>
          <cell r="F290" t="str">
            <v>AM</v>
          </cell>
          <cell r="H290">
            <v>49.564015761141</v>
          </cell>
          <cell r="I290">
            <v>7698.4561402931004</v>
          </cell>
        </row>
        <row r="291">
          <cell r="A291">
            <v>44287</v>
          </cell>
          <cell r="B291" t="str">
            <v>Mansi Trivedi</v>
          </cell>
          <cell r="E291" t="str">
            <v>FCR</v>
          </cell>
          <cell r="F291" t="str">
            <v>AM</v>
          </cell>
          <cell r="H291">
            <v>81.572276974927206</v>
          </cell>
          <cell r="I291">
            <v>21094.814714609001</v>
          </cell>
        </row>
        <row r="292">
          <cell r="A292">
            <v>44287</v>
          </cell>
          <cell r="B292" t="str">
            <v>Mohamed Mostafa</v>
          </cell>
          <cell r="E292" t="str">
            <v>FCR</v>
          </cell>
          <cell r="F292" t="str">
            <v>AM</v>
          </cell>
          <cell r="H292">
            <v>51.421079507736302</v>
          </cell>
          <cell r="I292">
            <v>18698.456140293099</v>
          </cell>
        </row>
        <row r="293">
          <cell r="A293">
            <v>44287</v>
          </cell>
          <cell r="B293" t="str">
            <v>Mohamed Reda</v>
          </cell>
          <cell r="E293" t="str">
            <v>FCR</v>
          </cell>
          <cell r="F293" t="str">
            <v>AM</v>
          </cell>
          <cell r="H293">
            <v>129.68069243731799</v>
          </cell>
          <cell r="I293">
            <v>21231.189403362401</v>
          </cell>
        </row>
        <row r="294">
          <cell r="A294">
            <v>44287</v>
          </cell>
          <cell r="B294" t="str">
            <v>Nadeem Rasheed</v>
          </cell>
          <cell r="E294" t="str">
            <v>FCR</v>
          </cell>
          <cell r="F294" t="str">
            <v>AM</v>
          </cell>
          <cell r="H294">
            <v>81.421079507736295</v>
          </cell>
          <cell r="I294">
            <v>21698.456140293099</v>
          </cell>
        </row>
        <row r="295">
          <cell r="A295">
            <v>44287</v>
          </cell>
          <cell r="B295" t="str">
            <v>Othman Hassan</v>
          </cell>
          <cell r="E295" t="str">
            <v>FCR</v>
          </cell>
          <cell r="F295" t="str">
            <v>AM</v>
          </cell>
          <cell r="H295">
            <v>115.04585099320801</v>
          </cell>
          <cell r="I295">
            <v>26698.456140293099</v>
          </cell>
        </row>
        <row r="296">
          <cell r="A296">
            <v>44287</v>
          </cell>
          <cell r="B296" t="str">
            <v>Rahul Raina</v>
          </cell>
          <cell r="E296" t="str">
            <v>FCR</v>
          </cell>
          <cell r="F296" t="str">
            <v>AM</v>
          </cell>
          <cell r="H296">
            <v>130.42107950773601</v>
          </cell>
          <cell r="I296">
            <v>21019.437809365802</v>
          </cell>
        </row>
        <row r="297">
          <cell r="A297">
            <v>44287</v>
          </cell>
          <cell r="B297" t="str">
            <v>Ranjith Chandran</v>
          </cell>
          <cell r="E297" t="str">
            <v>FCR</v>
          </cell>
          <cell r="F297" t="str">
            <v>AM</v>
          </cell>
          <cell r="H297">
            <v>92.421079507736295</v>
          </cell>
          <cell r="I297">
            <v>18698.456140293099</v>
          </cell>
        </row>
        <row r="298">
          <cell r="A298">
            <v>44287</v>
          </cell>
          <cell r="B298" t="str">
            <v>Richard Chandy</v>
          </cell>
          <cell r="E298" t="str">
            <v>FCR</v>
          </cell>
          <cell r="F298" t="str">
            <v>AM</v>
          </cell>
          <cell r="H298">
            <v>82.396425471072007</v>
          </cell>
          <cell r="I298">
            <v>18698.456140293099</v>
          </cell>
        </row>
        <row r="299">
          <cell r="A299">
            <v>44287</v>
          </cell>
          <cell r="B299" t="str">
            <v>Rijith Menon</v>
          </cell>
          <cell r="E299" t="str">
            <v>FCR</v>
          </cell>
          <cell r="F299" t="str">
            <v>AM</v>
          </cell>
          <cell r="H299">
            <v>125.253495378645</v>
          </cell>
          <cell r="I299">
            <v>18698.456140293099</v>
          </cell>
        </row>
        <row r="300">
          <cell r="A300">
            <v>44287</v>
          </cell>
          <cell r="B300" t="str">
            <v>Mohamad Labban</v>
          </cell>
          <cell r="E300" t="str">
            <v>FCR</v>
          </cell>
          <cell r="F300" t="str">
            <v>AM</v>
          </cell>
          <cell r="H300">
            <v>41</v>
          </cell>
          <cell r="I300">
            <v>15238.456140293099</v>
          </cell>
        </row>
        <row r="301">
          <cell r="A301">
            <v>44287</v>
          </cell>
          <cell r="B301" t="str">
            <v>Salman Amir</v>
          </cell>
          <cell r="E301" t="str">
            <v>FCR</v>
          </cell>
          <cell r="F301" t="str">
            <v>AM</v>
          </cell>
          <cell r="H301">
            <v>46.421079507736302</v>
          </cell>
          <cell r="I301">
            <v>7698.4561402931004</v>
          </cell>
        </row>
        <row r="302">
          <cell r="A302">
            <v>44287</v>
          </cell>
          <cell r="B302" t="str">
            <v>Simon Williams</v>
          </cell>
          <cell r="E302" t="str">
            <v>FCR</v>
          </cell>
          <cell r="F302" t="str">
            <v>AM</v>
          </cell>
          <cell r="H302">
            <v>151.81930756268201</v>
          </cell>
          <cell r="I302">
            <v>18698.456140293099</v>
          </cell>
        </row>
        <row r="303">
          <cell r="A303">
            <v>44287</v>
          </cell>
          <cell r="B303" t="str">
            <v>Usman Zafar Sipra</v>
          </cell>
          <cell r="E303" t="str">
            <v>FCR</v>
          </cell>
          <cell r="F303" t="str">
            <v>AM</v>
          </cell>
          <cell r="H303">
            <v>56.421079507736302</v>
          </cell>
          <cell r="I303">
            <v>22698.456140293099</v>
          </cell>
        </row>
        <row r="304">
          <cell r="A304">
            <v>44287</v>
          </cell>
          <cell r="B304" t="str">
            <v>Hamzah Nofal</v>
          </cell>
          <cell r="E304" t="str">
            <v>RCOGM</v>
          </cell>
          <cell r="F304" t="str">
            <v>D</v>
          </cell>
          <cell r="H304">
            <v>793</v>
          </cell>
          <cell r="I304">
            <v>157067</v>
          </cell>
        </row>
        <row r="305">
          <cell r="A305">
            <v>44287</v>
          </cell>
          <cell r="B305" t="str">
            <v>Ali Alzarooni</v>
          </cell>
          <cell r="E305" t="str">
            <v>RCOGM</v>
          </cell>
          <cell r="F305" t="str">
            <v>AM</v>
          </cell>
          <cell r="H305">
            <v>45</v>
          </cell>
          <cell r="I305">
            <v>10500</v>
          </cell>
        </row>
        <row r="306">
          <cell r="A306">
            <v>44287</v>
          </cell>
          <cell r="B306" t="str">
            <v>Ali Shahin</v>
          </cell>
          <cell r="E306" t="str">
            <v>RCOGM</v>
          </cell>
          <cell r="F306" t="str">
            <v>AM</v>
          </cell>
          <cell r="H306">
            <v>45</v>
          </cell>
          <cell r="I306">
            <v>10500</v>
          </cell>
        </row>
        <row r="307">
          <cell r="A307">
            <v>44287</v>
          </cell>
          <cell r="B307" t="str">
            <v>Meerza Ramjeed</v>
          </cell>
          <cell r="E307" t="str">
            <v>RCOGM</v>
          </cell>
          <cell r="F307" t="str">
            <v>AM</v>
          </cell>
          <cell r="H307">
            <v>22.5</v>
          </cell>
          <cell r="I307">
            <v>12000</v>
          </cell>
        </row>
        <row r="308">
          <cell r="A308">
            <v>44287</v>
          </cell>
          <cell r="B308" t="str">
            <v>Rima Al Safadi</v>
          </cell>
          <cell r="E308" t="str">
            <v>RCOGM</v>
          </cell>
          <cell r="F308" t="str">
            <v>AM</v>
          </cell>
          <cell r="H308">
            <v>22.5</v>
          </cell>
          <cell r="I308">
            <v>9500</v>
          </cell>
        </row>
        <row r="309">
          <cell r="A309">
            <v>44287</v>
          </cell>
          <cell r="B309" t="str">
            <v>Mohamed Kishk</v>
          </cell>
          <cell r="E309" t="str">
            <v>RCOGM</v>
          </cell>
          <cell r="F309" t="str">
            <v>AM</v>
          </cell>
          <cell r="H309">
            <v>200</v>
          </cell>
          <cell r="I309">
            <v>9500</v>
          </cell>
        </row>
        <row r="310">
          <cell r="A310">
            <v>44287</v>
          </cell>
          <cell r="B310" t="str">
            <v>Mohd Sheikh Salem</v>
          </cell>
          <cell r="E310" t="str">
            <v>RCOGM</v>
          </cell>
          <cell r="F310" t="str">
            <v>AM</v>
          </cell>
          <cell r="H310">
            <v>45</v>
          </cell>
          <cell r="I310">
            <v>20000</v>
          </cell>
        </row>
        <row r="311">
          <cell r="A311">
            <v>44287</v>
          </cell>
          <cell r="B311" t="str">
            <v>Ninette Hajjar</v>
          </cell>
          <cell r="E311" t="str">
            <v>RCOGM</v>
          </cell>
          <cell r="F311" t="str">
            <v>AM</v>
          </cell>
          <cell r="H311">
            <v>45</v>
          </cell>
          <cell r="I311">
            <v>10000</v>
          </cell>
        </row>
        <row r="312">
          <cell r="A312">
            <v>44287</v>
          </cell>
          <cell r="B312" t="str">
            <v>Ram Arya</v>
          </cell>
          <cell r="E312" t="str">
            <v>RCOGM</v>
          </cell>
          <cell r="F312" t="str">
            <v>AM</v>
          </cell>
          <cell r="H312">
            <v>45</v>
          </cell>
          <cell r="I312">
            <v>10500</v>
          </cell>
        </row>
        <row r="313">
          <cell r="A313">
            <v>44287</v>
          </cell>
          <cell r="B313" t="str">
            <v>Sana Shaikh</v>
          </cell>
          <cell r="E313" t="str">
            <v>RCOGM</v>
          </cell>
          <cell r="F313" t="str">
            <v>AM</v>
          </cell>
          <cell r="H313">
            <v>120</v>
          </cell>
          <cell r="I313">
            <v>7500</v>
          </cell>
        </row>
        <row r="314">
          <cell r="A314">
            <v>44287</v>
          </cell>
          <cell r="B314" t="str">
            <v>Shabbir Lacewala</v>
          </cell>
          <cell r="E314" t="str">
            <v>RCOGM</v>
          </cell>
          <cell r="F314" t="str">
            <v>AM</v>
          </cell>
          <cell r="H314">
            <v>45</v>
          </cell>
          <cell r="I314">
            <v>12000</v>
          </cell>
        </row>
        <row r="315">
          <cell r="A315">
            <v>44287</v>
          </cell>
          <cell r="B315" t="str">
            <v>Shadab Sheikh</v>
          </cell>
          <cell r="E315" t="str">
            <v>RCOGM</v>
          </cell>
          <cell r="F315" t="str">
            <v>AM</v>
          </cell>
          <cell r="H315">
            <v>45</v>
          </cell>
          <cell r="I315">
            <v>5500</v>
          </cell>
        </row>
        <row r="316">
          <cell r="A316">
            <v>44287</v>
          </cell>
          <cell r="B316" t="str">
            <v>Vandana Dubey</v>
          </cell>
          <cell r="E316" t="str">
            <v>RCOGM</v>
          </cell>
          <cell r="F316" t="str">
            <v>AM</v>
          </cell>
          <cell r="H316">
            <v>50</v>
          </cell>
          <cell r="I316">
            <v>30067</v>
          </cell>
        </row>
        <row r="317">
          <cell r="A317">
            <v>44287</v>
          </cell>
          <cell r="B317" t="str">
            <v>Vineeth Augustine</v>
          </cell>
          <cell r="E317" t="str">
            <v>RCOGM</v>
          </cell>
          <cell r="F317" t="str">
            <v>AM</v>
          </cell>
          <cell r="H317">
            <v>63</v>
          </cell>
          <cell r="I317">
            <v>9500</v>
          </cell>
        </row>
        <row r="318">
          <cell r="A318">
            <v>44287</v>
          </cell>
          <cell r="B318" t="str">
            <v>Mohamad Amer Sibai</v>
          </cell>
          <cell r="E318" t="str">
            <v>DXB</v>
          </cell>
          <cell r="F318" t="str">
            <v>D</v>
          </cell>
          <cell r="H318">
            <v>500</v>
          </cell>
          <cell r="I318">
            <v>68571.428571428565</v>
          </cell>
        </row>
        <row r="319">
          <cell r="A319">
            <v>44287</v>
          </cell>
          <cell r="B319" t="str">
            <v>Mohamed Mady</v>
          </cell>
          <cell r="E319" t="str">
            <v>DXB</v>
          </cell>
          <cell r="F319" t="str">
            <v>AM</v>
          </cell>
          <cell r="H319">
            <v>100</v>
          </cell>
          <cell r="I319">
            <v>10000</v>
          </cell>
        </row>
        <row r="320">
          <cell r="A320">
            <v>44287</v>
          </cell>
          <cell r="B320" t="str">
            <v>Ramzi Gholmieh</v>
          </cell>
          <cell r="E320" t="str">
            <v>DXB</v>
          </cell>
          <cell r="F320" t="str">
            <v>AM</v>
          </cell>
          <cell r="H320">
            <v>100</v>
          </cell>
          <cell r="I320">
            <v>18571.428571428565</v>
          </cell>
        </row>
        <row r="321">
          <cell r="A321">
            <v>44287</v>
          </cell>
          <cell r="B321" t="str">
            <v>Saleh Barami</v>
          </cell>
          <cell r="E321" t="str">
            <v>DXB</v>
          </cell>
          <cell r="F321" t="str">
            <v>AM</v>
          </cell>
          <cell r="H321">
            <v>150</v>
          </cell>
          <cell r="I321">
            <v>20000</v>
          </cell>
        </row>
        <row r="322">
          <cell r="A322">
            <v>44287</v>
          </cell>
          <cell r="B322" t="str">
            <v>Talal Ahmed Ali Alsharhan</v>
          </cell>
          <cell r="E322" t="str">
            <v>DXB</v>
          </cell>
          <cell r="F322" t="str">
            <v>AM</v>
          </cell>
          <cell r="H322">
            <v>150</v>
          </cell>
          <cell r="I322">
            <v>20000</v>
          </cell>
        </row>
        <row r="323">
          <cell r="A323">
            <v>44287</v>
          </cell>
          <cell r="B323" t="str">
            <v>Khaled Alawadi</v>
          </cell>
          <cell r="E323" t="str">
            <v>F-NE</v>
          </cell>
          <cell r="F323" t="str">
            <v>D</v>
          </cell>
          <cell r="H323">
            <v>1200</v>
          </cell>
          <cell r="I323">
            <v>85714.28571428571</v>
          </cell>
        </row>
        <row r="324">
          <cell r="A324">
            <v>44287</v>
          </cell>
          <cell r="B324" t="str">
            <v>Bader Al Shehhi</v>
          </cell>
          <cell r="E324" t="str">
            <v>F-NE</v>
          </cell>
          <cell r="F324" t="str">
            <v>AM</v>
          </cell>
          <cell r="H324">
            <v>100</v>
          </cell>
          <cell r="I324">
            <v>5000</v>
          </cell>
        </row>
        <row r="325">
          <cell r="A325">
            <v>44287</v>
          </cell>
          <cell r="B325" t="str">
            <v>Majd Nairoukh</v>
          </cell>
          <cell r="E325" t="str">
            <v>F-NE</v>
          </cell>
          <cell r="F325" t="str">
            <v>AM</v>
          </cell>
          <cell r="H325">
            <v>625</v>
          </cell>
          <cell r="I325">
            <v>58214</v>
          </cell>
        </row>
        <row r="326">
          <cell r="A326">
            <v>44287</v>
          </cell>
          <cell r="B326" t="str">
            <v>Nader AlMustafa</v>
          </cell>
          <cell r="E326" t="str">
            <v>F-NE</v>
          </cell>
          <cell r="F326" t="str">
            <v>AM</v>
          </cell>
          <cell r="H326">
            <v>35</v>
          </cell>
          <cell r="I326">
            <v>5000</v>
          </cell>
        </row>
        <row r="327">
          <cell r="A327">
            <v>44287</v>
          </cell>
          <cell r="B327" t="str">
            <v>Tariq AlAwadhi</v>
          </cell>
          <cell r="E327" t="str">
            <v>F-NE</v>
          </cell>
          <cell r="F327" t="str">
            <v>AM</v>
          </cell>
          <cell r="H327">
            <v>15</v>
          </cell>
          <cell r="I327">
            <v>1500</v>
          </cell>
        </row>
        <row r="328">
          <cell r="A328">
            <v>44287</v>
          </cell>
          <cell r="B328" t="str">
            <v>Yousef Al Baloushi</v>
          </cell>
          <cell r="E328" t="str">
            <v>F-NE</v>
          </cell>
          <cell r="F328" t="str">
            <v>AM</v>
          </cell>
          <cell r="H328">
            <v>425</v>
          </cell>
          <cell r="I328">
            <v>16000</v>
          </cell>
        </row>
        <row r="329">
          <cell r="A329">
            <v>44287</v>
          </cell>
          <cell r="B329" t="str">
            <v>Khalid Karmastaji</v>
          </cell>
          <cell r="E329" t="str">
            <v>KA-AUH</v>
          </cell>
          <cell r="F329" t="str">
            <v>D</v>
          </cell>
          <cell r="H329">
            <v>800</v>
          </cell>
          <cell r="I329">
            <v>274285.71428571426</v>
          </cell>
        </row>
        <row r="330">
          <cell r="A330">
            <v>44287</v>
          </cell>
          <cell r="B330" t="str">
            <v>Ammar Alqudsi</v>
          </cell>
          <cell r="E330" t="str">
            <v>KA-AUH</v>
          </cell>
          <cell r="F330" t="str">
            <v>AM</v>
          </cell>
          <cell r="H330">
            <v>170</v>
          </cell>
          <cell r="I330">
            <v>47000</v>
          </cell>
        </row>
        <row r="331">
          <cell r="A331">
            <v>44287</v>
          </cell>
          <cell r="B331" t="str">
            <v>Fadi Murad</v>
          </cell>
          <cell r="E331" t="str">
            <v>KA-AUH</v>
          </cell>
          <cell r="F331" t="str">
            <v>AM</v>
          </cell>
          <cell r="H331">
            <v>140</v>
          </cell>
          <cell r="I331">
            <v>50000</v>
          </cell>
        </row>
        <row r="332">
          <cell r="A332">
            <v>44287</v>
          </cell>
          <cell r="B332" t="str">
            <v>Haifa Alawi</v>
          </cell>
          <cell r="E332" t="str">
            <v>KA-AUH</v>
          </cell>
          <cell r="F332" t="str">
            <v>AM</v>
          </cell>
          <cell r="H332">
            <v>70</v>
          </cell>
          <cell r="I332">
            <v>35286</v>
          </cell>
        </row>
        <row r="333">
          <cell r="A333">
            <v>44287</v>
          </cell>
          <cell r="B333" t="str">
            <v>Osman Basuleman</v>
          </cell>
          <cell r="E333" t="str">
            <v>KA-AUH</v>
          </cell>
          <cell r="F333" t="str">
            <v>AM</v>
          </cell>
          <cell r="H333">
            <v>140</v>
          </cell>
          <cell r="I333">
            <v>47000</v>
          </cell>
        </row>
        <row r="334">
          <cell r="A334">
            <v>44287</v>
          </cell>
          <cell r="B334" t="str">
            <v>Tamer AlMahameed</v>
          </cell>
          <cell r="E334" t="str">
            <v>KA-AUH</v>
          </cell>
          <cell r="F334" t="str">
            <v>AM</v>
          </cell>
          <cell r="H334">
            <v>140</v>
          </cell>
          <cell r="I334">
            <v>47000</v>
          </cell>
        </row>
        <row r="335">
          <cell r="A335">
            <v>44287</v>
          </cell>
          <cell r="B335" t="str">
            <v>Tarek Solh</v>
          </cell>
          <cell r="E335" t="str">
            <v>KA-AUH</v>
          </cell>
          <cell r="F335" t="str">
            <v>AM</v>
          </cell>
          <cell r="H335">
            <v>140</v>
          </cell>
          <cell r="I335">
            <v>48000</v>
          </cell>
        </row>
        <row r="336">
          <cell r="A336">
            <v>44287</v>
          </cell>
          <cell r="B336" t="str">
            <v>Mazen Adem</v>
          </cell>
          <cell r="E336" t="str">
            <v>KA</v>
          </cell>
          <cell r="F336" t="str">
            <v>D</v>
          </cell>
          <cell r="H336">
            <v>500</v>
          </cell>
          <cell r="I336">
            <v>171429</v>
          </cell>
        </row>
        <row r="337">
          <cell r="A337">
            <v>44287</v>
          </cell>
          <cell r="B337" t="str">
            <v>Abdel Azim Sharabati</v>
          </cell>
          <cell r="E337" t="str">
            <v>KA</v>
          </cell>
          <cell r="F337" t="str">
            <v>AM</v>
          </cell>
          <cell r="H337">
            <v>70</v>
          </cell>
          <cell r="I337">
            <v>22240</v>
          </cell>
        </row>
        <row r="338">
          <cell r="A338">
            <v>44287</v>
          </cell>
          <cell r="B338" t="str">
            <v>Abraham Cherian</v>
          </cell>
          <cell r="E338" t="str">
            <v>KA</v>
          </cell>
          <cell r="F338" t="str">
            <v>AM</v>
          </cell>
          <cell r="H338">
            <v>140</v>
          </cell>
          <cell r="I338">
            <v>15000</v>
          </cell>
        </row>
        <row r="339">
          <cell r="A339">
            <v>44287</v>
          </cell>
          <cell r="B339" t="str">
            <v>Arjun Subaraman</v>
          </cell>
          <cell r="E339" t="str">
            <v>KA</v>
          </cell>
          <cell r="F339" t="str">
            <v>AM</v>
          </cell>
          <cell r="H339">
            <v>60</v>
          </cell>
          <cell r="I339">
            <v>68000</v>
          </cell>
        </row>
        <row r="340">
          <cell r="A340">
            <v>44287</v>
          </cell>
          <cell r="B340" t="str">
            <v>Ghassan Fouany</v>
          </cell>
          <cell r="E340" t="str">
            <v>KA</v>
          </cell>
          <cell r="F340" t="str">
            <v>AM</v>
          </cell>
          <cell r="H340">
            <v>140</v>
          </cell>
          <cell r="I340">
            <v>20049</v>
          </cell>
        </row>
        <row r="341">
          <cell r="A341">
            <v>44287</v>
          </cell>
          <cell r="B341" t="str">
            <v>Inayat Fazili</v>
          </cell>
          <cell r="E341" t="str">
            <v>KA</v>
          </cell>
          <cell r="F341" t="str">
            <v>AM</v>
          </cell>
          <cell r="H341">
            <v>50</v>
          </cell>
          <cell r="I341">
            <v>22140</v>
          </cell>
        </row>
        <row r="342">
          <cell r="A342">
            <v>44287</v>
          </cell>
          <cell r="B342" t="str">
            <v>Khawla Almansoori</v>
          </cell>
          <cell r="E342" t="str">
            <v>KA</v>
          </cell>
          <cell r="F342" t="str">
            <v>AM</v>
          </cell>
          <cell r="H342">
            <v>40</v>
          </cell>
          <cell r="I342">
            <v>24000</v>
          </cell>
        </row>
        <row r="343">
          <cell r="A343">
            <v>44317</v>
          </cell>
          <cell r="B343" t="str">
            <v>Mohamad Amer Sibai</v>
          </cell>
          <cell r="E343" t="str">
            <v>DXB</v>
          </cell>
          <cell r="F343" t="str">
            <v>D</v>
          </cell>
          <cell r="H343">
            <v>1500</v>
          </cell>
          <cell r="I343">
            <v>68571.428571428565</v>
          </cell>
        </row>
        <row r="344">
          <cell r="A344">
            <v>44317</v>
          </cell>
          <cell r="B344" t="str">
            <v>Mohamed Mady</v>
          </cell>
          <cell r="E344" t="str">
            <v>DXB</v>
          </cell>
          <cell r="F344" t="str">
            <v>AM</v>
          </cell>
          <cell r="H344">
            <v>300</v>
          </cell>
          <cell r="I344">
            <v>12000</v>
          </cell>
        </row>
        <row r="345">
          <cell r="A345">
            <v>44317</v>
          </cell>
          <cell r="B345" t="str">
            <v>Ramzi Gholmieh</v>
          </cell>
          <cell r="E345" t="str">
            <v>DXB</v>
          </cell>
          <cell r="F345" t="str">
            <v>AM</v>
          </cell>
          <cell r="H345">
            <v>400</v>
          </cell>
          <cell r="I345">
            <v>18857.142857142855</v>
          </cell>
        </row>
        <row r="346">
          <cell r="A346">
            <v>44317</v>
          </cell>
          <cell r="B346" t="str">
            <v>Saleh Barami</v>
          </cell>
          <cell r="E346" t="str">
            <v>DXB</v>
          </cell>
          <cell r="F346" t="str">
            <v>AM</v>
          </cell>
          <cell r="H346">
            <v>400</v>
          </cell>
          <cell r="I346">
            <v>18857.142857142855</v>
          </cell>
        </row>
        <row r="347">
          <cell r="A347">
            <v>44317</v>
          </cell>
          <cell r="B347" t="str">
            <v>Talal Ahmed Ali Alsharhan</v>
          </cell>
          <cell r="E347" t="str">
            <v>DXB</v>
          </cell>
          <cell r="F347" t="str">
            <v>AM</v>
          </cell>
          <cell r="H347">
            <v>400</v>
          </cell>
          <cell r="I347">
            <v>18857.142857142855</v>
          </cell>
        </row>
        <row r="348">
          <cell r="A348">
            <v>44317</v>
          </cell>
          <cell r="B348" t="str">
            <v>Khaled Alawadi</v>
          </cell>
          <cell r="E348" t="str">
            <v>F-NE</v>
          </cell>
          <cell r="F348" t="str">
            <v>D</v>
          </cell>
          <cell r="H348">
            <v>1500</v>
          </cell>
          <cell r="I348">
            <v>85714.28571428571</v>
          </cell>
        </row>
        <row r="349">
          <cell r="A349">
            <v>44317</v>
          </cell>
          <cell r="B349" t="str">
            <v>Bader Al Shehhi</v>
          </cell>
          <cell r="E349" t="str">
            <v>F-NE</v>
          </cell>
          <cell r="F349" t="str">
            <v>AM</v>
          </cell>
          <cell r="H349">
            <v>165</v>
          </cell>
          <cell r="I349">
            <v>5000</v>
          </cell>
        </row>
        <row r="350">
          <cell r="A350">
            <v>44317</v>
          </cell>
          <cell r="B350" t="str">
            <v>Majd Nairoukh</v>
          </cell>
          <cell r="E350" t="str">
            <v>F-NE</v>
          </cell>
          <cell r="F350" t="str">
            <v>AM</v>
          </cell>
          <cell r="H350">
            <v>650</v>
          </cell>
          <cell r="I350">
            <v>51000</v>
          </cell>
        </row>
        <row r="351">
          <cell r="A351">
            <v>44317</v>
          </cell>
          <cell r="B351" t="str">
            <v>Nader AlMustafa</v>
          </cell>
          <cell r="E351" t="str">
            <v>F-NE</v>
          </cell>
          <cell r="F351" t="str">
            <v>AM</v>
          </cell>
          <cell r="H351">
            <v>55</v>
          </cell>
          <cell r="I351">
            <v>5000</v>
          </cell>
        </row>
        <row r="352">
          <cell r="A352">
            <v>44317</v>
          </cell>
          <cell r="B352" t="str">
            <v>Tariq AlAwadhi</v>
          </cell>
          <cell r="E352" t="str">
            <v>F-NE</v>
          </cell>
          <cell r="F352" t="str">
            <v>AM</v>
          </cell>
          <cell r="H352">
            <v>30</v>
          </cell>
          <cell r="I352">
            <v>3000</v>
          </cell>
        </row>
        <row r="353">
          <cell r="A353">
            <v>44317</v>
          </cell>
          <cell r="B353" t="str">
            <v>Yousef Al Baloushi</v>
          </cell>
          <cell r="E353" t="str">
            <v>F-NE</v>
          </cell>
          <cell r="F353" t="str">
            <v>AM</v>
          </cell>
          <cell r="H353">
            <v>600</v>
          </cell>
          <cell r="I353">
            <v>21714</v>
          </cell>
        </row>
        <row r="354">
          <cell r="A354">
            <v>44317</v>
          </cell>
          <cell r="B354" t="str">
            <v>Khalid Karmastaji</v>
          </cell>
          <cell r="E354" t="str">
            <v>KA-AUH</v>
          </cell>
          <cell r="F354" t="str">
            <v>D</v>
          </cell>
          <cell r="H354">
            <v>500</v>
          </cell>
          <cell r="I354">
            <v>274285.71428571426</v>
          </cell>
        </row>
        <row r="355">
          <cell r="A355">
            <v>44317</v>
          </cell>
          <cell r="B355" t="str">
            <v>Ammar Alqudsi</v>
          </cell>
          <cell r="E355" t="str">
            <v>KA-AUH</v>
          </cell>
          <cell r="F355" t="str">
            <v>AM</v>
          </cell>
          <cell r="H355">
            <v>110</v>
          </cell>
          <cell r="I355">
            <v>45000</v>
          </cell>
        </row>
        <row r="356">
          <cell r="A356">
            <v>44317</v>
          </cell>
          <cell r="B356" t="str">
            <v>Fadi Murad</v>
          </cell>
          <cell r="E356" t="str">
            <v>KA-AUH</v>
          </cell>
          <cell r="F356" t="str">
            <v>AM</v>
          </cell>
          <cell r="H356">
            <v>90</v>
          </cell>
          <cell r="I356">
            <v>46614</v>
          </cell>
        </row>
        <row r="357">
          <cell r="A357">
            <v>44317</v>
          </cell>
          <cell r="B357" t="str">
            <v>Haifa Alawi</v>
          </cell>
          <cell r="E357" t="str">
            <v>KA-AUH</v>
          </cell>
          <cell r="F357" t="str">
            <v>AM</v>
          </cell>
          <cell r="H357">
            <v>80</v>
          </cell>
          <cell r="I357">
            <v>42672</v>
          </cell>
        </row>
        <row r="358">
          <cell r="A358">
            <v>44317</v>
          </cell>
          <cell r="B358" t="str">
            <v>Osman Basuleman</v>
          </cell>
          <cell r="E358" t="str">
            <v>KA-AUH</v>
          </cell>
          <cell r="F358" t="str">
            <v>AM</v>
          </cell>
          <cell r="H358">
            <v>70</v>
          </cell>
          <cell r="I358">
            <v>55000</v>
          </cell>
        </row>
        <row r="359">
          <cell r="A359">
            <v>44317</v>
          </cell>
          <cell r="B359" t="str">
            <v>Tamer AlMahameed</v>
          </cell>
          <cell r="E359" t="str">
            <v>KA-AUH</v>
          </cell>
          <cell r="F359" t="str">
            <v>AM</v>
          </cell>
          <cell r="H359">
            <v>80</v>
          </cell>
          <cell r="I359">
            <v>42000</v>
          </cell>
        </row>
        <row r="360">
          <cell r="A360">
            <v>44317</v>
          </cell>
          <cell r="B360" t="str">
            <v>Tarek Solh</v>
          </cell>
          <cell r="E360" t="str">
            <v>KA-AUH</v>
          </cell>
          <cell r="F360" t="str">
            <v>AM</v>
          </cell>
          <cell r="H360">
            <v>70</v>
          </cell>
          <cell r="I360">
            <v>43000</v>
          </cell>
        </row>
        <row r="361">
          <cell r="A361">
            <v>44317</v>
          </cell>
          <cell r="B361" t="str">
            <v>Mazen Adem</v>
          </cell>
          <cell r="E361" t="str">
            <v>KA</v>
          </cell>
          <cell r="F361" t="str">
            <v>D</v>
          </cell>
          <cell r="H361">
            <v>500</v>
          </cell>
          <cell r="I361">
            <v>171429</v>
          </cell>
        </row>
        <row r="362">
          <cell r="A362">
            <v>44317</v>
          </cell>
          <cell r="B362" t="str">
            <v>Abdel Azim Sharabati</v>
          </cell>
          <cell r="E362" t="str">
            <v>KA</v>
          </cell>
          <cell r="F362" t="str">
            <v>AM</v>
          </cell>
          <cell r="H362">
            <v>70</v>
          </cell>
          <cell r="I362">
            <v>22240</v>
          </cell>
        </row>
        <row r="363">
          <cell r="A363">
            <v>44317</v>
          </cell>
          <cell r="B363" t="str">
            <v>Abraham Cherian</v>
          </cell>
          <cell r="E363" t="str">
            <v>KA</v>
          </cell>
          <cell r="F363" t="str">
            <v>AM</v>
          </cell>
          <cell r="H363">
            <v>140</v>
          </cell>
          <cell r="I363">
            <v>15000</v>
          </cell>
        </row>
        <row r="364">
          <cell r="A364">
            <v>44317</v>
          </cell>
          <cell r="B364" t="str">
            <v>Arjun Subaraman</v>
          </cell>
          <cell r="E364" t="str">
            <v>KA</v>
          </cell>
          <cell r="F364" t="str">
            <v>AM</v>
          </cell>
          <cell r="H364">
            <v>60</v>
          </cell>
          <cell r="I364">
            <v>68000</v>
          </cell>
        </row>
        <row r="365">
          <cell r="A365">
            <v>44317</v>
          </cell>
          <cell r="B365" t="str">
            <v>Ghassan Fouany</v>
          </cell>
          <cell r="E365" t="str">
            <v>KA</v>
          </cell>
          <cell r="F365" t="str">
            <v>AM</v>
          </cell>
          <cell r="H365">
            <v>140</v>
          </cell>
          <cell r="I365">
            <v>20049</v>
          </cell>
        </row>
        <row r="366">
          <cell r="A366">
            <v>44317</v>
          </cell>
          <cell r="B366" t="str">
            <v>Inayat Fazili</v>
          </cell>
          <cell r="E366" t="str">
            <v>KA</v>
          </cell>
          <cell r="F366" t="str">
            <v>AM</v>
          </cell>
          <cell r="H366">
            <v>50</v>
          </cell>
          <cell r="I366">
            <v>22140</v>
          </cell>
        </row>
        <row r="367">
          <cell r="A367">
            <v>44317</v>
          </cell>
          <cell r="B367" t="str">
            <v>Khawla Almansoori</v>
          </cell>
          <cell r="E367" t="str">
            <v>KA</v>
          </cell>
          <cell r="F367" t="str">
            <v>AM</v>
          </cell>
          <cell r="H367">
            <v>40</v>
          </cell>
          <cell r="I367">
            <v>24000</v>
          </cell>
        </row>
        <row r="368">
          <cell r="A368">
            <v>44317</v>
          </cell>
          <cell r="B368" t="str">
            <v>Maitha Bin Malek</v>
          </cell>
          <cell r="E368" t="str">
            <v>HHTT</v>
          </cell>
          <cell r="F368" t="str">
            <v>D</v>
          </cell>
          <cell r="H368">
            <v>786</v>
          </cell>
          <cell r="I368">
            <v>135200</v>
          </cell>
        </row>
        <row r="369">
          <cell r="A369">
            <v>44317</v>
          </cell>
          <cell r="B369" t="str">
            <v>Abdelouahab Belamri</v>
          </cell>
          <cell r="E369" t="str">
            <v>HHTT</v>
          </cell>
          <cell r="F369" t="str">
            <v>AM</v>
          </cell>
          <cell r="H369">
            <v>26</v>
          </cell>
          <cell r="I369">
            <v>25000</v>
          </cell>
        </row>
        <row r="370">
          <cell r="A370">
            <v>44317</v>
          </cell>
          <cell r="B370" t="str">
            <v>Atef Kassem</v>
          </cell>
          <cell r="E370" t="str">
            <v>HHTT</v>
          </cell>
          <cell r="F370" t="str">
            <v>AM</v>
          </cell>
          <cell r="H370">
            <v>47</v>
          </cell>
          <cell r="I370">
            <v>10500</v>
          </cell>
        </row>
        <row r="371">
          <cell r="A371">
            <v>44317</v>
          </cell>
          <cell r="B371" t="str">
            <v>Bashar Al Adilee</v>
          </cell>
          <cell r="E371" t="str">
            <v>HHTT</v>
          </cell>
          <cell r="F371" t="str">
            <v>AM</v>
          </cell>
          <cell r="H371">
            <v>85</v>
          </cell>
          <cell r="I371">
            <v>15000</v>
          </cell>
        </row>
        <row r="372">
          <cell r="A372">
            <v>44317</v>
          </cell>
          <cell r="B372" t="str">
            <v>Favas Kurinhilayil</v>
          </cell>
          <cell r="E372" t="str">
            <v>HHTT</v>
          </cell>
          <cell r="F372" t="str">
            <v>AM</v>
          </cell>
          <cell r="H372">
            <v>120</v>
          </cell>
          <cell r="I372">
            <v>6500</v>
          </cell>
        </row>
        <row r="373">
          <cell r="A373">
            <v>44317</v>
          </cell>
          <cell r="B373" t="str">
            <v>Feroz Shaikh</v>
          </cell>
          <cell r="E373" t="str">
            <v>HHTT</v>
          </cell>
          <cell r="F373" t="str">
            <v>AM</v>
          </cell>
          <cell r="H373">
            <v>85</v>
          </cell>
          <cell r="I373">
            <v>10000</v>
          </cell>
        </row>
        <row r="374">
          <cell r="A374">
            <v>44317</v>
          </cell>
          <cell r="B374" t="str">
            <v>Hasa Alharthi</v>
          </cell>
          <cell r="E374" t="str">
            <v>HHTT</v>
          </cell>
          <cell r="F374" t="str">
            <v>AM</v>
          </cell>
          <cell r="H374">
            <v>60</v>
          </cell>
          <cell r="I374">
            <v>8000</v>
          </cell>
        </row>
        <row r="375">
          <cell r="A375">
            <v>44317</v>
          </cell>
          <cell r="B375" t="str">
            <v>Iqbal Hussain</v>
          </cell>
          <cell r="E375" t="str">
            <v>HHTT</v>
          </cell>
          <cell r="F375" t="str">
            <v>AM</v>
          </cell>
          <cell r="H375">
            <v>25.627383300703819</v>
          </cell>
          <cell r="I375">
            <v>8564.6812205806073</v>
          </cell>
        </row>
        <row r="376">
          <cell r="A376">
            <v>44317</v>
          </cell>
          <cell r="B376" t="str">
            <v>Muhammad Nauman Khan</v>
          </cell>
          <cell r="E376" t="str">
            <v>HHTT</v>
          </cell>
          <cell r="F376" t="str">
            <v>AM</v>
          </cell>
          <cell r="H376">
            <v>90</v>
          </cell>
          <cell r="I376">
            <v>10000</v>
          </cell>
        </row>
        <row r="377">
          <cell r="A377">
            <v>44317</v>
          </cell>
          <cell r="B377" t="str">
            <v>Mushahid Hussain Syed</v>
          </cell>
          <cell r="E377" t="str">
            <v>HHTT</v>
          </cell>
          <cell r="F377" t="str">
            <v>AM</v>
          </cell>
          <cell r="H377">
            <v>45</v>
          </cell>
          <cell r="I377">
            <v>8071</v>
          </cell>
        </row>
        <row r="378">
          <cell r="A378">
            <v>44317</v>
          </cell>
          <cell r="B378" t="str">
            <v>Osama ElWawi</v>
          </cell>
          <cell r="E378" t="str">
            <v>HHTT</v>
          </cell>
          <cell r="F378" t="str">
            <v>AM</v>
          </cell>
          <cell r="H378">
            <v>125</v>
          </cell>
          <cell r="I378">
            <v>8564.6812205806073</v>
          </cell>
        </row>
        <row r="379">
          <cell r="A379">
            <v>44317</v>
          </cell>
          <cell r="B379" t="str">
            <v>Ramez Al Alami</v>
          </cell>
          <cell r="E379" t="str">
            <v>HHTT</v>
          </cell>
          <cell r="F379" t="str">
            <v>AM</v>
          </cell>
          <cell r="H379">
            <v>85</v>
          </cell>
          <cell r="I379">
            <v>13000</v>
          </cell>
        </row>
        <row r="380">
          <cell r="A380">
            <v>44317</v>
          </cell>
          <cell r="B380" t="str">
            <v>Ramy Abdel Fattah</v>
          </cell>
          <cell r="E380" t="str">
            <v>HHTT</v>
          </cell>
          <cell r="F380" t="str">
            <v>AM</v>
          </cell>
          <cell r="H380">
            <v>70</v>
          </cell>
          <cell r="I380">
            <v>12000</v>
          </cell>
        </row>
        <row r="381">
          <cell r="A381">
            <v>44317</v>
          </cell>
          <cell r="B381" t="str">
            <v>Mustafa Shalabi</v>
          </cell>
          <cell r="E381" t="str">
            <v>TME</v>
          </cell>
          <cell r="F381" t="str">
            <v>D</v>
          </cell>
          <cell r="H381">
            <v>1447</v>
          </cell>
          <cell r="I381">
            <v>389466.66666666669</v>
          </cell>
        </row>
        <row r="382">
          <cell r="A382">
            <v>44317</v>
          </cell>
          <cell r="B382" t="str">
            <v>Aamir Mir</v>
          </cell>
          <cell r="E382" t="str">
            <v>TME</v>
          </cell>
          <cell r="F382" t="str">
            <v>AM</v>
          </cell>
          <cell r="H382">
            <v>55</v>
          </cell>
          <cell r="I382">
            <v>25000</v>
          </cell>
        </row>
        <row r="383">
          <cell r="A383">
            <v>44317</v>
          </cell>
          <cell r="B383" t="str">
            <v>Ahmed AlShehhi</v>
          </cell>
          <cell r="E383" t="str">
            <v>TME</v>
          </cell>
          <cell r="F383" t="str">
            <v>AM</v>
          </cell>
          <cell r="H383">
            <v>40</v>
          </cell>
          <cell r="I383">
            <v>8000</v>
          </cell>
        </row>
        <row r="384">
          <cell r="A384">
            <v>44317</v>
          </cell>
          <cell r="B384" t="str">
            <v>Amna Salem</v>
          </cell>
          <cell r="E384" t="str">
            <v>TME</v>
          </cell>
          <cell r="F384" t="str">
            <v>AM</v>
          </cell>
          <cell r="H384">
            <v>40</v>
          </cell>
          <cell r="I384">
            <v>8000</v>
          </cell>
        </row>
        <row r="385">
          <cell r="A385">
            <v>44317</v>
          </cell>
          <cell r="B385" t="str">
            <v>Anastasia Maltseva</v>
          </cell>
          <cell r="E385" t="str">
            <v>TME</v>
          </cell>
          <cell r="F385" t="str">
            <v>AM</v>
          </cell>
          <cell r="H385">
            <v>40</v>
          </cell>
          <cell r="I385">
            <v>8000</v>
          </cell>
        </row>
        <row r="386">
          <cell r="A386">
            <v>44317</v>
          </cell>
          <cell r="B386" t="str">
            <v>Lana Alzawawi</v>
          </cell>
          <cell r="E386" t="str">
            <v>TME</v>
          </cell>
          <cell r="F386" t="str">
            <v>AM</v>
          </cell>
          <cell r="H386">
            <v>40</v>
          </cell>
          <cell r="I386">
            <v>17000</v>
          </cell>
        </row>
        <row r="387">
          <cell r="A387">
            <v>44317</v>
          </cell>
          <cell r="B387" t="str">
            <v>Ehab Hajou</v>
          </cell>
          <cell r="E387" t="str">
            <v>TME</v>
          </cell>
          <cell r="F387" t="str">
            <v>AM</v>
          </cell>
          <cell r="H387">
            <v>377</v>
          </cell>
          <cell r="I387">
            <v>8000</v>
          </cell>
        </row>
        <row r="388">
          <cell r="A388">
            <v>44317</v>
          </cell>
          <cell r="B388" t="str">
            <v>Fadi Saleh</v>
          </cell>
          <cell r="E388" t="str">
            <v>TME</v>
          </cell>
          <cell r="F388" t="str">
            <v>AM</v>
          </cell>
          <cell r="H388">
            <v>25</v>
          </cell>
          <cell r="I388">
            <v>75200</v>
          </cell>
        </row>
        <row r="389">
          <cell r="A389">
            <v>44317</v>
          </cell>
          <cell r="B389" t="str">
            <v>Farha Hameed</v>
          </cell>
          <cell r="E389" t="str">
            <v>TME</v>
          </cell>
          <cell r="F389" t="str">
            <v>AM</v>
          </cell>
          <cell r="H389">
            <v>75</v>
          </cell>
          <cell r="I389">
            <v>15000</v>
          </cell>
        </row>
        <row r="390">
          <cell r="A390">
            <v>44317</v>
          </cell>
          <cell r="B390" t="str">
            <v>Jeevantha Ranasinghe</v>
          </cell>
          <cell r="E390" t="str">
            <v>TME</v>
          </cell>
          <cell r="F390" t="str">
            <v>AM</v>
          </cell>
          <cell r="H390">
            <v>35</v>
          </cell>
          <cell r="I390">
            <v>75467</v>
          </cell>
        </row>
        <row r="391">
          <cell r="A391">
            <v>44317</v>
          </cell>
          <cell r="B391" t="str">
            <v>Khalid Mohammed</v>
          </cell>
          <cell r="E391" t="str">
            <v>TME</v>
          </cell>
          <cell r="F391" t="str">
            <v>AM</v>
          </cell>
          <cell r="H391">
            <v>470</v>
          </cell>
          <cell r="I391">
            <v>17000</v>
          </cell>
        </row>
        <row r="392">
          <cell r="A392">
            <v>44317</v>
          </cell>
          <cell r="B392" t="str">
            <v>Mahmood Murad</v>
          </cell>
          <cell r="E392" t="str">
            <v>TME</v>
          </cell>
          <cell r="F392" t="str">
            <v>AM</v>
          </cell>
          <cell r="H392">
            <v>80</v>
          </cell>
          <cell r="I392">
            <v>21000</v>
          </cell>
        </row>
        <row r="393">
          <cell r="A393">
            <v>44317</v>
          </cell>
          <cell r="B393" t="str">
            <v>Majid Abdulla</v>
          </cell>
          <cell r="E393" t="str">
            <v>TME</v>
          </cell>
          <cell r="F393" t="str">
            <v>AM</v>
          </cell>
          <cell r="H393">
            <v>40</v>
          </cell>
          <cell r="I393">
            <v>17000</v>
          </cell>
        </row>
        <row r="394">
          <cell r="A394">
            <v>44317</v>
          </cell>
          <cell r="B394" t="str">
            <v>Mohamed Abdelkhalek</v>
          </cell>
          <cell r="E394" t="str">
            <v>TME</v>
          </cell>
          <cell r="F394" t="str">
            <v>AM</v>
          </cell>
          <cell r="H394">
            <v>90</v>
          </cell>
          <cell r="I394">
            <v>48233</v>
          </cell>
        </row>
        <row r="395">
          <cell r="A395">
            <v>44317</v>
          </cell>
          <cell r="B395" t="str">
            <v>Suleiman Wanni</v>
          </cell>
          <cell r="E395" t="str">
            <v>TME</v>
          </cell>
          <cell r="F395" t="str">
            <v>AM</v>
          </cell>
          <cell r="H395">
            <v>40</v>
          </cell>
          <cell r="I395">
            <v>46567</v>
          </cell>
        </row>
        <row r="396">
          <cell r="A396">
            <v>44317</v>
          </cell>
          <cell r="B396" t="str">
            <v>Hany Jawee</v>
          </cell>
          <cell r="E396" t="str">
            <v>FCR</v>
          </cell>
          <cell r="F396" t="str">
            <v>D</v>
          </cell>
          <cell r="H396">
            <v>1371</v>
          </cell>
          <cell r="I396">
            <v>778266.66666666663</v>
          </cell>
        </row>
        <row r="397">
          <cell r="A397">
            <v>44317</v>
          </cell>
          <cell r="B397" t="str">
            <v>Amjad Ilwan</v>
          </cell>
          <cell r="E397" t="str">
            <v>FCR</v>
          </cell>
          <cell r="F397" t="str">
            <v>AM</v>
          </cell>
          <cell r="H397">
            <v>71</v>
          </cell>
          <cell r="I397">
            <v>10285.709999999999</v>
          </cell>
        </row>
        <row r="398">
          <cell r="A398">
            <v>44317</v>
          </cell>
          <cell r="B398" t="str">
            <v>Eslam Hassan</v>
          </cell>
          <cell r="E398" t="str">
            <v>FCR</v>
          </cell>
          <cell r="F398" t="str">
            <v>AM</v>
          </cell>
          <cell r="H398">
            <v>71</v>
          </cell>
          <cell r="I398">
            <v>7285.71</v>
          </cell>
        </row>
        <row r="399">
          <cell r="A399">
            <v>44317</v>
          </cell>
          <cell r="B399" t="str">
            <v>Mansi Trivedi</v>
          </cell>
          <cell r="E399" t="str">
            <v>FCR</v>
          </cell>
          <cell r="F399" t="str">
            <v>AM</v>
          </cell>
          <cell r="H399">
            <v>71</v>
          </cell>
          <cell r="I399">
            <v>10285.709999999999</v>
          </cell>
        </row>
        <row r="400">
          <cell r="A400">
            <v>44317</v>
          </cell>
          <cell r="B400" t="str">
            <v>Mohamed Mostafa</v>
          </cell>
          <cell r="E400" t="str">
            <v>FCR</v>
          </cell>
          <cell r="F400" t="str">
            <v>AM</v>
          </cell>
          <cell r="H400">
            <v>56.715866066432795</v>
          </cell>
          <cell r="I400">
            <v>7285.71</v>
          </cell>
        </row>
        <row r="401">
          <cell r="A401">
            <v>44317</v>
          </cell>
          <cell r="B401" t="str">
            <v>Mohamed Reda</v>
          </cell>
          <cell r="E401" t="str">
            <v>FCR</v>
          </cell>
          <cell r="F401" t="str">
            <v>AM</v>
          </cell>
          <cell r="H401">
            <v>140</v>
          </cell>
          <cell r="I401">
            <v>10285.709999999999</v>
          </cell>
        </row>
        <row r="402">
          <cell r="A402">
            <v>44317</v>
          </cell>
          <cell r="B402" t="str">
            <v>Nadeem Rasheed</v>
          </cell>
          <cell r="E402" t="str">
            <v>FCR</v>
          </cell>
          <cell r="F402" t="str">
            <v>AM</v>
          </cell>
          <cell r="H402">
            <v>56.715866066432795</v>
          </cell>
          <cell r="I402">
            <v>10285.709999999999</v>
          </cell>
        </row>
        <row r="403">
          <cell r="A403">
            <v>44317</v>
          </cell>
          <cell r="B403" t="str">
            <v>Othman Hassan</v>
          </cell>
          <cell r="E403" t="str">
            <v>FCR</v>
          </cell>
          <cell r="F403" t="str">
            <v>AM</v>
          </cell>
          <cell r="H403">
            <v>120</v>
          </cell>
          <cell r="I403">
            <v>10285.709999999999</v>
          </cell>
        </row>
        <row r="404">
          <cell r="A404">
            <v>44317</v>
          </cell>
          <cell r="B404" t="str">
            <v>Rahul Raina</v>
          </cell>
          <cell r="E404" t="str">
            <v>FCR</v>
          </cell>
          <cell r="F404" t="str">
            <v>AM</v>
          </cell>
          <cell r="H404">
            <v>269.99</v>
          </cell>
          <cell r="I404">
            <v>595267</v>
          </cell>
        </row>
        <row r="405">
          <cell r="A405">
            <v>44317</v>
          </cell>
          <cell r="B405" t="str">
            <v>Ranjith Chandran</v>
          </cell>
          <cell r="E405" t="str">
            <v>FCR</v>
          </cell>
          <cell r="F405" t="str">
            <v>AM</v>
          </cell>
          <cell r="H405">
            <v>56.715866066432795</v>
          </cell>
          <cell r="I405">
            <v>7285.71</v>
          </cell>
        </row>
        <row r="406">
          <cell r="A406">
            <v>44317</v>
          </cell>
          <cell r="B406" t="str">
            <v>Richard Chandy</v>
          </cell>
          <cell r="E406" t="str">
            <v>FCR</v>
          </cell>
          <cell r="F406" t="str">
            <v>AM</v>
          </cell>
          <cell r="H406">
            <v>71</v>
          </cell>
          <cell r="I406">
            <v>7285.71</v>
          </cell>
        </row>
        <row r="407">
          <cell r="A407">
            <v>44317</v>
          </cell>
          <cell r="B407" t="str">
            <v>Rijith Menon</v>
          </cell>
          <cell r="E407" t="str">
            <v>FCR</v>
          </cell>
          <cell r="F407" t="str">
            <v>AM</v>
          </cell>
          <cell r="H407">
            <v>56.715866066432795</v>
          </cell>
          <cell r="I407">
            <v>30285.71</v>
          </cell>
        </row>
        <row r="408">
          <cell r="A408">
            <v>44317</v>
          </cell>
          <cell r="B408" t="str">
            <v>Mohamad Labban</v>
          </cell>
          <cell r="E408" t="str">
            <v>FCR</v>
          </cell>
          <cell r="F408" t="str">
            <v>AM</v>
          </cell>
          <cell r="H408">
            <v>56.715866066432795</v>
          </cell>
          <cell r="I408">
            <v>24285.71</v>
          </cell>
        </row>
        <row r="409">
          <cell r="A409">
            <v>44317</v>
          </cell>
          <cell r="B409" t="str">
            <v>Salman Amir</v>
          </cell>
          <cell r="E409" t="str">
            <v>FCR</v>
          </cell>
          <cell r="F409" t="str">
            <v>AM</v>
          </cell>
          <cell r="H409">
            <v>71.715866066432795</v>
          </cell>
          <cell r="I409">
            <v>7285.71</v>
          </cell>
        </row>
        <row r="410">
          <cell r="A410">
            <v>44317</v>
          </cell>
          <cell r="B410" t="str">
            <v>Simon Williams</v>
          </cell>
          <cell r="E410" t="str">
            <v>FCR</v>
          </cell>
          <cell r="F410" t="str">
            <v>AM</v>
          </cell>
          <cell r="H410">
            <v>130</v>
          </cell>
          <cell r="I410">
            <v>30285.71</v>
          </cell>
        </row>
        <row r="411">
          <cell r="A411">
            <v>44317</v>
          </cell>
          <cell r="B411" t="str">
            <v>Usman Zafar Sipra</v>
          </cell>
          <cell r="E411" t="str">
            <v>FCR</v>
          </cell>
          <cell r="F411" t="str">
            <v>AM</v>
          </cell>
          <cell r="H411">
            <v>71.715866066432795</v>
          </cell>
          <cell r="I411">
            <v>10285.709999999999</v>
          </cell>
        </row>
        <row r="412">
          <cell r="A412">
            <v>44317</v>
          </cell>
          <cell r="B412" t="str">
            <v>Hamzah Nofal</v>
          </cell>
          <cell r="E412" t="str">
            <v>RCOGM</v>
          </cell>
          <cell r="F412" t="str">
            <v>D</v>
          </cell>
          <cell r="H412">
            <v>793</v>
          </cell>
          <cell r="I412">
            <v>157066.66666666666</v>
          </cell>
        </row>
        <row r="413">
          <cell r="A413">
            <v>44317</v>
          </cell>
          <cell r="B413" t="str">
            <v>Ali Alzarooni</v>
          </cell>
          <cell r="E413" t="str">
            <v>RCOGM</v>
          </cell>
          <cell r="F413" t="str">
            <v>AM</v>
          </cell>
          <cell r="H413">
            <v>75</v>
          </cell>
          <cell r="I413">
            <v>11000</v>
          </cell>
        </row>
        <row r="414">
          <cell r="A414">
            <v>44317</v>
          </cell>
          <cell r="B414" t="str">
            <v>Ali Shahin</v>
          </cell>
          <cell r="E414" t="str">
            <v>RCOGM</v>
          </cell>
          <cell r="F414" t="str">
            <v>AM</v>
          </cell>
          <cell r="H414">
            <v>75</v>
          </cell>
          <cell r="I414">
            <v>11000</v>
          </cell>
        </row>
        <row r="415">
          <cell r="A415">
            <v>44317</v>
          </cell>
          <cell r="B415" t="str">
            <v>Meerza Ramjeed</v>
          </cell>
          <cell r="E415" t="str">
            <v>RCOGM</v>
          </cell>
          <cell r="F415" t="str">
            <v>AM</v>
          </cell>
          <cell r="H415">
            <v>25</v>
          </cell>
          <cell r="I415">
            <v>17000</v>
          </cell>
        </row>
        <row r="416">
          <cell r="A416">
            <v>44317</v>
          </cell>
          <cell r="B416" t="str">
            <v>Rima Al Safadi</v>
          </cell>
          <cell r="E416" t="str">
            <v>RCOGM</v>
          </cell>
          <cell r="F416" t="str">
            <v>AM</v>
          </cell>
          <cell r="H416">
            <v>119</v>
          </cell>
          <cell r="I416">
            <v>7500</v>
          </cell>
        </row>
        <row r="417">
          <cell r="A417">
            <v>44317</v>
          </cell>
          <cell r="B417" t="str">
            <v>Mohamed Kishk</v>
          </cell>
          <cell r="E417" t="str">
            <v>RCOGM</v>
          </cell>
          <cell r="F417" t="str">
            <v>AM</v>
          </cell>
          <cell r="H417">
            <v>75</v>
          </cell>
          <cell r="I417">
            <v>11000</v>
          </cell>
        </row>
        <row r="418">
          <cell r="A418">
            <v>44317</v>
          </cell>
          <cell r="B418" t="str">
            <v>Mohd Sheikh Salem</v>
          </cell>
          <cell r="E418" t="str">
            <v>RCOGM</v>
          </cell>
          <cell r="F418" t="str">
            <v>AM</v>
          </cell>
          <cell r="H418">
            <v>25</v>
          </cell>
          <cell r="I418">
            <v>17000</v>
          </cell>
        </row>
        <row r="419">
          <cell r="A419">
            <v>44317</v>
          </cell>
          <cell r="B419" t="str">
            <v>Ninette Hajjar</v>
          </cell>
          <cell r="E419" t="str">
            <v>RCOGM</v>
          </cell>
          <cell r="F419" t="str">
            <v>AM</v>
          </cell>
          <cell r="H419">
            <v>25</v>
          </cell>
          <cell r="I419">
            <v>17000</v>
          </cell>
        </row>
        <row r="420">
          <cell r="A420">
            <v>44317</v>
          </cell>
          <cell r="B420" t="str">
            <v>Ram Arya</v>
          </cell>
          <cell r="E420" t="str">
            <v>RCOGM</v>
          </cell>
          <cell r="F420" t="str">
            <v>AM</v>
          </cell>
          <cell r="H420">
            <v>45</v>
          </cell>
          <cell r="I420">
            <v>13000</v>
          </cell>
        </row>
        <row r="421">
          <cell r="A421">
            <v>44317</v>
          </cell>
          <cell r="B421" t="str">
            <v>Sana Shaikh</v>
          </cell>
          <cell r="E421" t="str">
            <v>RCOGM</v>
          </cell>
          <cell r="F421" t="str">
            <v>AM</v>
          </cell>
          <cell r="H421">
            <v>119</v>
          </cell>
          <cell r="I421">
            <v>7500</v>
          </cell>
        </row>
        <row r="422">
          <cell r="A422">
            <v>44317</v>
          </cell>
          <cell r="B422" t="str">
            <v>Shabbir Lacewala</v>
          </cell>
          <cell r="E422" t="str">
            <v>RCOGM</v>
          </cell>
          <cell r="F422" t="str">
            <v>AM</v>
          </cell>
          <cell r="H422">
            <v>45</v>
          </cell>
          <cell r="I422">
            <v>13000</v>
          </cell>
        </row>
        <row r="423">
          <cell r="A423">
            <v>44317</v>
          </cell>
          <cell r="B423" t="str">
            <v>Shadab Sheikh</v>
          </cell>
          <cell r="E423" t="str">
            <v>RCOGM</v>
          </cell>
          <cell r="F423" t="str">
            <v>AM</v>
          </cell>
          <cell r="H423">
            <v>45</v>
          </cell>
          <cell r="I423">
            <v>8067</v>
          </cell>
        </row>
        <row r="424">
          <cell r="A424">
            <v>44317</v>
          </cell>
          <cell r="B424" t="str">
            <v>Vandana Dubey</v>
          </cell>
          <cell r="E424" t="str">
            <v>RCOGM</v>
          </cell>
          <cell r="F424" t="str">
            <v>AM</v>
          </cell>
          <cell r="H424">
            <v>75</v>
          </cell>
          <cell r="I424">
            <v>11000</v>
          </cell>
        </row>
        <row r="425">
          <cell r="A425">
            <v>44317</v>
          </cell>
          <cell r="B425" t="str">
            <v>Vineeth Augustine</v>
          </cell>
          <cell r="E425" t="str">
            <v>RCOGM</v>
          </cell>
          <cell r="F425" t="str">
            <v>AM</v>
          </cell>
          <cell r="H425">
            <v>45</v>
          </cell>
          <cell r="I425">
            <v>13000</v>
          </cell>
        </row>
        <row r="426">
          <cell r="A426">
            <v>44348</v>
          </cell>
          <cell r="B426" t="str">
            <v>Hany Jawee</v>
          </cell>
          <cell r="E426" t="str">
            <v>FCR</v>
          </cell>
          <cell r="F426" t="str">
            <v>D</v>
          </cell>
          <cell r="H426">
            <v>1185</v>
          </cell>
          <cell r="I426">
            <v>240000</v>
          </cell>
        </row>
        <row r="427">
          <cell r="A427">
            <v>44348</v>
          </cell>
          <cell r="B427" t="str">
            <v>Amjad Ilwan</v>
          </cell>
          <cell r="E427" t="str">
            <v>FCR</v>
          </cell>
          <cell r="F427" t="str">
            <v>AM</v>
          </cell>
          <cell r="H427">
            <v>54</v>
          </cell>
          <cell r="I427">
            <v>9154</v>
          </cell>
        </row>
        <row r="428">
          <cell r="A428">
            <v>44348</v>
          </cell>
          <cell r="B428" t="str">
            <v>Eslam Hassan</v>
          </cell>
          <cell r="E428" t="str">
            <v>FCR</v>
          </cell>
          <cell r="F428" t="str">
            <v>AM</v>
          </cell>
          <cell r="H428">
            <v>55</v>
          </cell>
          <cell r="I428">
            <v>9351</v>
          </cell>
        </row>
        <row r="429">
          <cell r="A429">
            <v>44348</v>
          </cell>
          <cell r="B429" t="str">
            <v>Mansi Trivedi</v>
          </cell>
          <cell r="E429" t="str">
            <v>FCR</v>
          </cell>
          <cell r="F429" t="str">
            <v>AM</v>
          </cell>
          <cell r="H429">
            <v>54</v>
          </cell>
          <cell r="I429">
            <v>9923</v>
          </cell>
        </row>
        <row r="430">
          <cell r="A430">
            <v>44348</v>
          </cell>
          <cell r="B430" t="str">
            <v>Mohamed Mostafa</v>
          </cell>
          <cell r="E430" t="str">
            <v>FCR</v>
          </cell>
          <cell r="F430" t="str">
            <v>AM</v>
          </cell>
          <cell r="H430">
            <v>54</v>
          </cell>
          <cell r="I430">
            <v>9179</v>
          </cell>
        </row>
        <row r="431">
          <cell r="A431">
            <v>44348</v>
          </cell>
          <cell r="B431" t="str">
            <v>Mohamed Reda</v>
          </cell>
          <cell r="E431" t="str">
            <v>FCR</v>
          </cell>
          <cell r="F431" t="str">
            <v>AM</v>
          </cell>
          <cell r="H431">
            <v>123</v>
          </cell>
          <cell r="I431">
            <v>12592</v>
          </cell>
        </row>
        <row r="432">
          <cell r="A432">
            <v>44348</v>
          </cell>
          <cell r="B432" t="str">
            <v>Nadeem Rasheed</v>
          </cell>
          <cell r="E432" t="str">
            <v>FCR</v>
          </cell>
          <cell r="F432" t="str">
            <v>AM</v>
          </cell>
          <cell r="H432">
            <v>71</v>
          </cell>
          <cell r="I432">
            <v>12473</v>
          </cell>
        </row>
        <row r="433">
          <cell r="A433">
            <v>44348</v>
          </cell>
          <cell r="B433" t="str">
            <v>Othman Hassan</v>
          </cell>
          <cell r="E433" t="str">
            <v>FCR</v>
          </cell>
          <cell r="F433" t="str">
            <v>AM</v>
          </cell>
          <cell r="H433">
            <v>129</v>
          </cell>
          <cell r="I433">
            <v>9154</v>
          </cell>
        </row>
        <row r="434">
          <cell r="A434">
            <v>44348</v>
          </cell>
          <cell r="B434" t="str">
            <v>Rahul Raina</v>
          </cell>
          <cell r="E434" t="str">
            <v>FCR</v>
          </cell>
          <cell r="F434" t="str">
            <v>AM</v>
          </cell>
          <cell r="H434">
            <v>20</v>
          </cell>
          <cell r="I434">
            <v>100000</v>
          </cell>
        </row>
        <row r="435">
          <cell r="A435">
            <v>44348</v>
          </cell>
          <cell r="B435" t="str">
            <v>Ranjith Chandran</v>
          </cell>
          <cell r="E435" t="str">
            <v>FCR</v>
          </cell>
          <cell r="F435" t="str">
            <v>AM</v>
          </cell>
          <cell r="H435">
            <v>58</v>
          </cell>
          <cell r="I435">
            <v>9001</v>
          </cell>
        </row>
        <row r="436">
          <cell r="A436">
            <v>44348</v>
          </cell>
          <cell r="B436" t="str">
            <v>Richard Chandy</v>
          </cell>
          <cell r="E436" t="str">
            <v>FCR</v>
          </cell>
          <cell r="F436" t="str">
            <v>AM</v>
          </cell>
          <cell r="H436">
            <v>59</v>
          </cell>
          <cell r="I436">
            <v>8154</v>
          </cell>
        </row>
        <row r="437">
          <cell r="A437">
            <v>44348</v>
          </cell>
          <cell r="B437" t="str">
            <v>Rijith Menon</v>
          </cell>
          <cell r="E437" t="str">
            <v>FCR</v>
          </cell>
          <cell r="F437" t="str">
            <v>AM</v>
          </cell>
          <cell r="H437">
            <v>122</v>
          </cell>
          <cell r="I437">
            <v>9799</v>
          </cell>
        </row>
        <row r="438">
          <cell r="A438">
            <v>44348</v>
          </cell>
          <cell r="B438" t="str">
            <v>Mohamad Labban</v>
          </cell>
          <cell r="E438" t="str">
            <v>FCR</v>
          </cell>
          <cell r="F438" t="str">
            <v>AM</v>
          </cell>
          <cell r="H438">
            <v>167</v>
          </cell>
          <cell r="I438">
            <v>10859</v>
          </cell>
        </row>
        <row r="439">
          <cell r="A439">
            <v>44348</v>
          </cell>
          <cell r="B439" t="str">
            <v>Salman Amir</v>
          </cell>
          <cell r="E439" t="str">
            <v>FCR</v>
          </cell>
          <cell r="F439" t="str">
            <v>AM</v>
          </cell>
          <cell r="H439">
            <v>37</v>
          </cell>
          <cell r="I439">
            <v>8554</v>
          </cell>
        </row>
        <row r="440">
          <cell r="A440">
            <v>44348</v>
          </cell>
          <cell r="B440" t="str">
            <v>Simon Williams</v>
          </cell>
          <cell r="E440" t="str">
            <v>FCR</v>
          </cell>
          <cell r="F440" t="str">
            <v>AM</v>
          </cell>
          <cell r="H440">
            <v>128</v>
          </cell>
          <cell r="I440">
            <v>12654</v>
          </cell>
        </row>
        <row r="441">
          <cell r="A441">
            <v>44348</v>
          </cell>
          <cell r="B441" t="str">
            <v>Usman Zafar Sipra</v>
          </cell>
          <cell r="E441" t="str">
            <v>FCR</v>
          </cell>
          <cell r="F441" t="str">
            <v>AM</v>
          </cell>
          <cell r="H441">
            <v>56</v>
          </cell>
          <cell r="I441">
            <v>9154</v>
          </cell>
        </row>
        <row r="442">
          <cell r="A442">
            <v>44348</v>
          </cell>
          <cell r="B442" t="str">
            <v>Maitha Bin Malek</v>
          </cell>
          <cell r="E442" t="str">
            <v>HHTT</v>
          </cell>
          <cell r="F442" t="str">
            <v>D</v>
          </cell>
          <cell r="H442">
            <v>679</v>
          </cell>
          <cell r="I442">
            <v>72000</v>
          </cell>
        </row>
        <row r="443">
          <cell r="A443">
            <v>44348</v>
          </cell>
          <cell r="B443" t="str">
            <v>Abdelouahab Belamri</v>
          </cell>
          <cell r="E443" t="str">
            <v>HHTT</v>
          </cell>
          <cell r="F443" t="str">
            <v>AM</v>
          </cell>
          <cell r="H443">
            <v>45</v>
          </cell>
          <cell r="I443">
            <v>5500</v>
          </cell>
        </row>
        <row r="444">
          <cell r="A444">
            <v>44348</v>
          </cell>
          <cell r="B444" t="str">
            <v>Bashar Al Adilee</v>
          </cell>
          <cell r="E444" t="str">
            <v>HHTT</v>
          </cell>
          <cell r="F444" t="str">
            <v>AM</v>
          </cell>
          <cell r="H444">
            <v>51</v>
          </cell>
          <cell r="I444">
            <v>8131</v>
          </cell>
        </row>
        <row r="445">
          <cell r="A445">
            <v>44348</v>
          </cell>
          <cell r="B445" t="str">
            <v>Favas Kurinhilayil</v>
          </cell>
          <cell r="E445" t="str">
            <v>HHTT</v>
          </cell>
          <cell r="F445" t="str">
            <v>AM</v>
          </cell>
          <cell r="H445">
            <v>99</v>
          </cell>
          <cell r="I445">
            <v>3500</v>
          </cell>
        </row>
        <row r="446">
          <cell r="A446">
            <v>44348</v>
          </cell>
          <cell r="B446" t="str">
            <v>Feroz Shaikh</v>
          </cell>
          <cell r="E446" t="str">
            <v>HHTT</v>
          </cell>
          <cell r="F446" t="str">
            <v>AM</v>
          </cell>
          <cell r="H446">
            <v>65</v>
          </cell>
          <cell r="I446">
            <v>10000</v>
          </cell>
        </row>
        <row r="447">
          <cell r="A447">
            <v>44348</v>
          </cell>
          <cell r="B447" t="str">
            <v>Hasa Alharthi</v>
          </cell>
          <cell r="E447" t="str">
            <v>HHTT</v>
          </cell>
          <cell r="F447" t="str">
            <v>AM</v>
          </cell>
          <cell r="H447">
            <v>56</v>
          </cell>
          <cell r="I447">
            <v>5969</v>
          </cell>
        </row>
        <row r="448">
          <cell r="A448">
            <v>44348</v>
          </cell>
          <cell r="B448" t="str">
            <v>Iqbal Hussain</v>
          </cell>
          <cell r="E448" t="str">
            <v>HHTT</v>
          </cell>
          <cell r="F448" t="str">
            <v>AM</v>
          </cell>
          <cell r="H448">
            <v>25</v>
          </cell>
          <cell r="I448">
            <v>5500</v>
          </cell>
        </row>
        <row r="449">
          <cell r="A449">
            <v>44348</v>
          </cell>
          <cell r="B449" t="str">
            <v>Ramez Al Alami</v>
          </cell>
          <cell r="E449" t="str">
            <v>HHTT</v>
          </cell>
          <cell r="F449" t="str">
            <v>AM</v>
          </cell>
          <cell r="H449">
            <v>45</v>
          </cell>
          <cell r="I449">
            <v>5500</v>
          </cell>
        </row>
        <row r="450">
          <cell r="A450">
            <v>44348</v>
          </cell>
          <cell r="B450" t="str">
            <v>Muhammad Nauman Khan</v>
          </cell>
          <cell r="E450" t="str">
            <v>HHTT</v>
          </cell>
          <cell r="F450" t="str">
            <v>AM</v>
          </cell>
          <cell r="H450">
            <v>74</v>
          </cell>
          <cell r="I450">
            <v>7500</v>
          </cell>
        </row>
        <row r="451">
          <cell r="A451">
            <v>44348</v>
          </cell>
          <cell r="B451" t="str">
            <v>Mushahid Hussain Syed</v>
          </cell>
          <cell r="E451" t="str">
            <v>HHTT</v>
          </cell>
          <cell r="F451" t="str">
            <v>AM</v>
          </cell>
          <cell r="H451">
            <v>42</v>
          </cell>
          <cell r="I451">
            <v>8000</v>
          </cell>
        </row>
        <row r="452">
          <cell r="A452">
            <v>44348</v>
          </cell>
          <cell r="B452" t="str">
            <v>Osama ElWawi</v>
          </cell>
          <cell r="E452" t="str">
            <v>HHTT</v>
          </cell>
          <cell r="F452" t="str">
            <v>AM</v>
          </cell>
          <cell r="H452">
            <v>99</v>
          </cell>
          <cell r="I452">
            <v>5500</v>
          </cell>
        </row>
        <row r="453">
          <cell r="A453">
            <v>44348</v>
          </cell>
          <cell r="B453" t="str">
            <v>Ramy Abdel Fattah</v>
          </cell>
          <cell r="E453" t="str">
            <v>HHTT</v>
          </cell>
          <cell r="F453" t="str">
            <v>AM</v>
          </cell>
          <cell r="H453">
            <v>39</v>
          </cell>
          <cell r="I453">
            <v>6000</v>
          </cell>
        </row>
        <row r="454">
          <cell r="A454">
            <v>44348</v>
          </cell>
          <cell r="B454" t="str">
            <v>Atef Kassem</v>
          </cell>
          <cell r="E454" t="str">
            <v>HHTT</v>
          </cell>
          <cell r="F454" t="str">
            <v>AM</v>
          </cell>
          <cell r="H454">
            <v>39</v>
          </cell>
          <cell r="I454">
            <v>4500</v>
          </cell>
        </row>
        <row r="455">
          <cell r="A455">
            <v>44348</v>
          </cell>
          <cell r="B455" t="str">
            <v>Imran Malik</v>
          </cell>
          <cell r="E455" t="str">
            <v>HUNT</v>
          </cell>
          <cell r="F455" t="str">
            <v>D</v>
          </cell>
          <cell r="H455">
            <v>0</v>
          </cell>
          <cell r="I455">
            <v>0</v>
          </cell>
        </row>
        <row r="456">
          <cell r="A456">
            <v>44348</v>
          </cell>
          <cell r="B456" t="str">
            <v>Ahmad Ozdamir</v>
          </cell>
          <cell r="E456" t="str">
            <v>HUNT</v>
          </cell>
          <cell r="F456" t="str">
            <v>AM</v>
          </cell>
          <cell r="H456">
            <v>0</v>
          </cell>
          <cell r="I456">
            <v>0</v>
          </cell>
        </row>
        <row r="457">
          <cell r="A457">
            <v>44348</v>
          </cell>
          <cell r="B457" t="str">
            <v>Ammar Abu Salamih</v>
          </cell>
          <cell r="E457" t="str">
            <v>HUNT</v>
          </cell>
          <cell r="F457" t="str">
            <v>AM</v>
          </cell>
          <cell r="H457">
            <v>0</v>
          </cell>
          <cell r="I457">
            <v>0</v>
          </cell>
        </row>
        <row r="458">
          <cell r="A458">
            <v>44348</v>
          </cell>
          <cell r="B458" t="str">
            <v>Ammar Aladily</v>
          </cell>
          <cell r="E458" t="str">
            <v>HUNT</v>
          </cell>
          <cell r="F458" t="str">
            <v>AM</v>
          </cell>
          <cell r="H458">
            <v>0</v>
          </cell>
          <cell r="I458">
            <v>0</v>
          </cell>
        </row>
        <row r="459">
          <cell r="A459">
            <v>44348</v>
          </cell>
          <cell r="B459" t="str">
            <v>Ayaz Zargar</v>
          </cell>
          <cell r="E459" t="str">
            <v>HUNT</v>
          </cell>
          <cell r="F459" t="str">
            <v>AM</v>
          </cell>
          <cell r="H459">
            <v>0</v>
          </cell>
          <cell r="I459">
            <v>0</v>
          </cell>
        </row>
        <row r="460">
          <cell r="A460">
            <v>44348</v>
          </cell>
          <cell r="B460" t="str">
            <v>Buhari Buhari</v>
          </cell>
          <cell r="E460" t="str">
            <v>HUNT</v>
          </cell>
          <cell r="F460" t="str">
            <v>AM</v>
          </cell>
          <cell r="H460">
            <v>0</v>
          </cell>
          <cell r="I460">
            <v>0</v>
          </cell>
        </row>
        <row r="461">
          <cell r="A461">
            <v>44348</v>
          </cell>
          <cell r="B461" t="str">
            <v>Jalal Ismail</v>
          </cell>
          <cell r="E461" t="str">
            <v>HUNT</v>
          </cell>
          <cell r="F461" t="str">
            <v>AM</v>
          </cell>
          <cell r="H461">
            <v>0</v>
          </cell>
          <cell r="I461">
            <v>0</v>
          </cell>
        </row>
        <row r="462">
          <cell r="A462">
            <v>44348</v>
          </cell>
          <cell r="B462" t="str">
            <v>Khaleel Farooki</v>
          </cell>
          <cell r="E462" t="str">
            <v>HUNT</v>
          </cell>
          <cell r="F462" t="str">
            <v>AM</v>
          </cell>
          <cell r="H462">
            <v>0</v>
          </cell>
          <cell r="I462">
            <v>0</v>
          </cell>
        </row>
        <row r="463">
          <cell r="A463">
            <v>44348</v>
          </cell>
          <cell r="B463" t="str">
            <v>Muhammad Ismail</v>
          </cell>
          <cell r="E463" t="str">
            <v>HUNT</v>
          </cell>
          <cell r="F463" t="str">
            <v>AM</v>
          </cell>
          <cell r="H463">
            <v>0</v>
          </cell>
          <cell r="I463">
            <v>0</v>
          </cell>
        </row>
        <row r="464">
          <cell r="A464">
            <v>44348</v>
          </cell>
          <cell r="B464" t="str">
            <v>Roshan Kelat</v>
          </cell>
          <cell r="E464" t="str">
            <v>HUNT</v>
          </cell>
          <cell r="F464" t="str">
            <v>AM</v>
          </cell>
          <cell r="H464">
            <v>0</v>
          </cell>
          <cell r="I464">
            <v>0</v>
          </cell>
        </row>
        <row r="465">
          <cell r="A465">
            <v>44348</v>
          </cell>
          <cell r="B465" t="str">
            <v>Shiraz Niazi</v>
          </cell>
          <cell r="E465" t="str">
            <v>HUNT</v>
          </cell>
          <cell r="F465" t="str">
            <v>AM</v>
          </cell>
          <cell r="H465">
            <v>0</v>
          </cell>
          <cell r="I465">
            <v>0</v>
          </cell>
        </row>
        <row r="466">
          <cell r="A466">
            <v>44348</v>
          </cell>
          <cell r="B466" t="str">
            <v>Waseem Choudhary</v>
          </cell>
          <cell r="E466" t="str">
            <v>HUNT</v>
          </cell>
          <cell r="F466" t="str">
            <v>AM</v>
          </cell>
          <cell r="H466">
            <v>0</v>
          </cell>
          <cell r="I466">
            <v>0</v>
          </cell>
        </row>
        <row r="467">
          <cell r="A467">
            <v>44348</v>
          </cell>
          <cell r="B467" t="str">
            <v>Waseem Suhaf</v>
          </cell>
          <cell r="E467" t="str">
            <v>HUNT</v>
          </cell>
          <cell r="F467" t="str">
            <v>AM</v>
          </cell>
          <cell r="H467">
            <v>0</v>
          </cell>
          <cell r="I467">
            <v>0</v>
          </cell>
        </row>
        <row r="468">
          <cell r="A468">
            <v>44348</v>
          </cell>
          <cell r="B468" t="str">
            <v>Hamzah Nofal</v>
          </cell>
          <cell r="E468" t="str">
            <v>RCOGM</v>
          </cell>
          <cell r="F468" t="str">
            <v>D</v>
          </cell>
          <cell r="H468">
            <v>685</v>
          </cell>
          <cell r="I468">
            <v>88000</v>
          </cell>
        </row>
        <row r="469">
          <cell r="A469">
            <v>44348</v>
          </cell>
          <cell r="B469" t="str">
            <v>Ali Alzarooni</v>
          </cell>
          <cell r="E469" t="str">
            <v>RCOGM</v>
          </cell>
          <cell r="F469" t="str">
            <v>AM</v>
          </cell>
          <cell r="H469">
            <v>53</v>
          </cell>
          <cell r="I469">
            <v>6850</v>
          </cell>
        </row>
        <row r="470">
          <cell r="A470">
            <v>44348</v>
          </cell>
          <cell r="B470" t="str">
            <v>Ali Shahin</v>
          </cell>
          <cell r="E470" t="str">
            <v>RCOGM</v>
          </cell>
          <cell r="F470" t="str">
            <v>AM</v>
          </cell>
          <cell r="H470">
            <v>53</v>
          </cell>
          <cell r="I470">
            <v>6850</v>
          </cell>
        </row>
        <row r="471">
          <cell r="A471">
            <v>44348</v>
          </cell>
          <cell r="B471" t="str">
            <v>Meerza Ramjeed</v>
          </cell>
          <cell r="E471" t="str">
            <v>RCOGM</v>
          </cell>
          <cell r="F471" t="str">
            <v>AM</v>
          </cell>
          <cell r="H471">
            <v>53</v>
          </cell>
          <cell r="I471">
            <v>6850</v>
          </cell>
        </row>
        <row r="472">
          <cell r="A472">
            <v>44348</v>
          </cell>
          <cell r="B472" t="str">
            <v>Rima Al Safadi</v>
          </cell>
          <cell r="E472" t="str">
            <v>RCOGM</v>
          </cell>
          <cell r="F472" t="str">
            <v>AM</v>
          </cell>
          <cell r="H472">
            <v>53</v>
          </cell>
          <cell r="I472">
            <v>6850</v>
          </cell>
        </row>
        <row r="473">
          <cell r="A473">
            <v>44348</v>
          </cell>
          <cell r="B473" t="str">
            <v>Mohamed Kishk</v>
          </cell>
          <cell r="E473" t="str">
            <v>RCOGM</v>
          </cell>
          <cell r="F473" t="str">
            <v>AM</v>
          </cell>
          <cell r="H473">
            <v>53</v>
          </cell>
          <cell r="I473">
            <v>6850</v>
          </cell>
        </row>
        <row r="474">
          <cell r="A474">
            <v>44348</v>
          </cell>
          <cell r="B474" t="str">
            <v>Mohd Sheikh Salem</v>
          </cell>
          <cell r="E474" t="str">
            <v>RCOGM</v>
          </cell>
          <cell r="F474" t="str">
            <v>AM</v>
          </cell>
          <cell r="H474">
            <v>53</v>
          </cell>
          <cell r="I474">
            <v>6850</v>
          </cell>
        </row>
        <row r="475">
          <cell r="A475">
            <v>44348</v>
          </cell>
          <cell r="B475" t="str">
            <v>Ninette Hajjar</v>
          </cell>
          <cell r="E475" t="str">
            <v>RCOGM</v>
          </cell>
          <cell r="F475" t="str">
            <v>AM</v>
          </cell>
          <cell r="H475">
            <v>53</v>
          </cell>
          <cell r="I475">
            <v>6850</v>
          </cell>
        </row>
        <row r="476">
          <cell r="A476">
            <v>44348</v>
          </cell>
          <cell r="B476" t="str">
            <v>Ram Arya</v>
          </cell>
          <cell r="E476" t="str">
            <v>RCOGM</v>
          </cell>
          <cell r="F476" t="str">
            <v>AM</v>
          </cell>
          <cell r="H476">
            <v>53</v>
          </cell>
          <cell r="I476">
            <v>6850</v>
          </cell>
        </row>
        <row r="477">
          <cell r="A477">
            <v>44348</v>
          </cell>
          <cell r="B477" t="str">
            <v>Sana Shaikh</v>
          </cell>
          <cell r="E477" t="str">
            <v>RCOGM</v>
          </cell>
          <cell r="F477" t="str">
            <v>AM</v>
          </cell>
          <cell r="H477">
            <v>53</v>
          </cell>
          <cell r="I477">
            <v>6850</v>
          </cell>
        </row>
        <row r="478">
          <cell r="A478">
            <v>44348</v>
          </cell>
          <cell r="B478" t="str">
            <v>Shabbir Lacewala</v>
          </cell>
          <cell r="E478" t="str">
            <v>RCOGM</v>
          </cell>
          <cell r="F478" t="str">
            <v>AM</v>
          </cell>
          <cell r="H478">
            <v>53</v>
          </cell>
          <cell r="I478">
            <v>6850</v>
          </cell>
        </row>
        <row r="479">
          <cell r="A479">
            <v>44348</v>
          </cell>
          <cell r="B479" t="str">
            <v>Shadab Sheikh</v>
          </cell>
          <cell r="E479" t="str">
            <v>RCOGM</v>
          </cell>
          <cell r="F479" t="str">
            <v>AM</v>
          </cell>
          <cell r="H479">
            <v>49</v>
          </cell>
          <cell r="I479">
            <v>5800</v>
          </cell>
        </row>
        <row r="480">
          <cell r="A480">
            <v>44348</v>
          </cell>
          <cell r="B480" t="str">
            <v>Vandana Dubey</v>
          </cell>
          <cell r="E480" t="str">
            <v>RCOGM</v>
          </cell>
          <cell r="F480" t="str">
            <v>AM</v>
          </cell>
          <cell r="H480">
            <v>53</v>
          </cell>
          <cell r="I480">
            <v>6850</v>
          </cell>
        </row>
        <row r="481">
          <cell r="A481">
            <v>44348</v>
          </cell>
          <cell r="B481" t="str">
            <v>Vineeth Augustine</v>
          </cell>
          <cell r="E481" t="str">
            <v>RCOGM</v>
          </cell>
          <cell r="F481" t="str">
            <v>AM</v>
          </cell>
          <cell r="H481">
            <v>53</v>
          </cell>
          <cell r="I481">
            <v>6850</v>
          </cell>
        </row>
        <row r="482">
          <cell r="A482">
            <v>44348</v>
          </cell>
          <cell r="B482" t="str">
            <v>Mustafa Shalabi</v>
          </cell>
          <cell r="E482" t="str">
            <v>TME</v>
          </cell>
          <cell r="F482" t="str">
            <v>D</v>
          </cell>
          <cell r="H482">
            <v>1251</v>
          </cell>
          <cell r="I482">
            <v>400000</v>
          </cell>
        </row>
        <row r="483">
          <cell r="A483">
            <v>44348</v>
          </cell>
          <cell r="B483" t="str">
            <v>Aamir Mir</v>
          </cell>
          <cell r="E483" t="str">
            <v>TME</v>
          </cell>
          <cell r="F483" t="str">
            <v>AM</v>
          </cell>
          <cell r="H483">
            <v>50</v>
          </cell>
          <cell r="I483">
            <v>16000</v>
          </cell>
        </row>
        <row r="484">
          <cell r="A484">
            <v>44348</v>
          </cell>
          <cell r="B484" t="str">
            <v>Ahmed AlShehhi</v>
          </cell>
          <cell r="E484" t="str">
            <v>TME</v>
          </cell>
          <cell r="F484" t="str">
            <v>AM</v>
          </cell>
          <cell r="H484">
            <v>50</v>
          </cell>
          <cell r="I484">
            <v>12000</v>
          </cell>
        </row>
        <row r="485">
          <cell r="A485">
            <v>44348</v>
          </cell>
          <cell r="B485" t="str">
            <v>Amna Salem</v>
          </cell>
          <cell r="E485" t="str">
            <v>TME</v>
          </cell>
          <cell r="F485" t="str">
            <v>AM</v>
          </cell>
          <cell r="H485">
            <v>50</v>
          </cell>
          <cell r="I485">
            <v>10000</v>
          </cell>
        </row>
        <row r="486">
          <cell r="A486">
            <v>44348</v>
          </cell>
          <cell r="B486" t="str">
            <v>Anastasia Maltseva</v>
          </cell>
          <cell r="E486" t="str">
            <v>TME</v>
          </cell>
          <cell r="F486" t="str">
            <v>AM</v>
          </cell>
          <cell r="H486">
            <v>36</v>
          </cell>
          <cell r="I486">
            <v>8000</v>
          </cell>
        </row>
        <row r="487">
          <cell r="A487">
            <v>44348</v>
          </cell>
          <cell r="B487" t="str">
            <v>Ehab Hajou</v>
          </cell>
          <cell r="E487" t="str">
            <v>TME</v>
          </cell>
          <cell r="F487" t="str">
            <v>AM</v>
          </cell>
          <cell r="H487">
            <v>359</v>
          </cell>
          <cell r="I487">
            <v>15000</v>
          </cell>
        </row>
        <row r="488">
          <cell r="A488">
            <v>44348</v>
          </cell>
          <cell r="B488" t="str">
            <v>Fadi Saleh</v>
          </cell>
          <cell r="E488" t="str">
            <v>TME</v>
          </cell>
          <cell r="F488" t="str">
            <v>AM</v>
          </cell>
          <cell r="H488">
            <v>25</v>
          </cell>
          <cell r="I488">
            <v>25000</v>
          </cell>
        </row>
        <row r="489">
          <cell r="A489">
            <v>44348</v>
          </cell>
          <cell r="B489" t="str">
            <v>Farha Hameed</v>
          </cell>
          <cell r="E489" t="str">
            <v>TME</v>
          </cell>
          <cell r="F489" t="str">
            <v>AM</v>
          </cell>
          <cell r="H489">
            <v>55</v>
          </cell>
          <cell r="I489">
            <v>28800</v>
          </cell>
        </row>
        <row r="490">
          <cell r="A490">
            <v>44348</v>
          </cell>
          <cell r="B490" t="str">
            <v>Jeevantha Ranasinghe</v>
          </cell>
          <cell r="E490" t="str">
            <v>TME</v>
          </cell>
          <cell r="F490" t="str">
            <v>AM</v>
          </cell>
          <cell r="H490">
            <v>25</v>
          </cell>
          <cell r="I490">
            <v>33000</v>
          </cell>
        </row>
        <row r="491">
          <cell r="A491">
            <v>44348</v>
          </cell>
          <cell r="B491" t="str">
            <v>Mahmood Murad</v>
          </cell>
          <cell r="E491" t="str">
            <v>TME</v>
          </cell>
          <cell r="F491" t="str">
            <v>AM</v>
          </cell>
          <cell r="H491">
            <v>55</v>
          </cell>
          <cell r="I491">
            <v>33000</v>
          </cell>
        </row>
        <row r="492">
          <cell r="A492">
            <v>44348</v>
          </cell>
          <cell r="B492" t="str">
            <v>Majid Abdulla</v>
          </cell>
          <cell r="E492" t="str">
            <v>TME</v>
          </cell>
          <cell r="F492" t="str">
            <v>AM</v>
          </cell>
          <cell r="H492">
            <v>55</v>
          </cell>
          <cell r="I492">
            <v>16500</v>
          </cell>
        </row>
        <row r="493">
          <cell r="A493">
            <v>44348</v>
          </cell>
          <cell r="B493" t="str">
            <v>Mohamed Abdelkhalek</v>
          </cell>
          <cell r="E493" t="str">
            <v>TME</v>
          </cell>
          <cell r="F493" t="str">
            <v>AM</v>
          </cell>
          <cell r="H493">
            <v>218</v>
          </cell>
          <cell r="I493">
            <v>28700</v>
          </cell>
        </row>
        <row r="494">
          <cell r="A494">
            <v>44348</v>
          </cell>
          <cell r="B494" t="str">
            <v>Khalid Mohammed</v>
          </cell>
          <cell r="E494" t="str">
            <v>TME</v>
          </cell>
          <cell r="F494" t="str">
            <v>AM</v>
          </cell>
          <cell r="H494">
            <v>218</v>
          </cell>
          <cell r="I494">
            <v>57000</v>
          </cell>
        </row>
        <row r="495">
          <cell r="A495">
            <v>44348</v>
          </cell>
          <cell r="B495" t="str">
            <v>Suleiman Wanni</v>
          </cell>
          <cell r="E495" t="str">
            <v>TME</v>
          </cell>
          <cell r="F495" t="str">
            <v>AM</v>
          </cell>
          <cell r="H495">
            <v>30</v>
          </cell>
          <cell r="I495">
            <v>53000</v>
          </cell>
        </row>
        <row r="496">
          <cell r="A496">
            <v>44348</v>
          </cell>
          <cell r="B496" t="str">
            <v>Lana Alzawawi</v>
          </cell>
          <cell r="E496" t="str">
            <v>TME</v>
          </cell>
          <cell r="F496" t="str">
            <v>AM</v>
          </cell>
          <cell r="H496">
            <v>25</v>
          </cell>
          <cell r="I496">
            <v>64000</v>
          </cell>
        </row>
        <row r="497">
          <cell r="A497">
            <v>44348</v>
          </cell>
          <cell r="B497" t="str">
            <v>Mohamad Amer Sibai</v>
          </cell>
          <cell r="E497" t="str">
            <v>DXB</v>
          </cell>
          <cell r="F497" t="str">
            <v>D</v>
          </cell>
          <cell r="H497">
            <v>1000</v>
          </cell>
          <cell r="I497">
            <v>85714</v>
          </cell>
        </row>
        <row r="498">
          <cell r="A498">
            <v>44348</v>
          </cell>
          <cell r="B498" t="str">
            <v>Mohamed Mady</v>
          </cell>
          <cell r="E498" t="str">
            <v>DXB</v>
          </cell>
          <cell r="F498" t="str">
            <v>AM</v>
          </cell>
          <cell r="H498">
            <v>150</v>
          </cell>
          <cell r="I498">
            <v>10000</v>
          </cell>
        </row>
        <row r="499">
          <cell r="A499">
            <v>44348</v>
          </cell>
          <cell r="B499" t="str">
            <v>Ramzi Gholmieh</v>
          </cell>
          <cell r="E499" t="str">
            <v>DXB</v>
          </cell>
          <cell r="F499" t="str">
            <v>AM</v>
          </cell>
          <cell r="H499">
            <v>300</v>
          </cell>
          <cell r="I499">
            <v>20000</v>
          </cell>
        </row>
        <row r="500">
          <cell r="A500">
            <v>44348</v>
          </cell>
          <cell r="B500" t="str">
            <v>Saleh Barami</v>
          </cell>
          <cell r="E500" t="str">
            <v>DXB</v>
          </cell>
          <cell r="F500" t="str">
            <v>AM</v>
          </cell>
          <cell r="H500">
            <v>250</v>
          </cell>
          <cell r="I500">
            <v>40714</v>
          </cell>
        </row>
        <row r="501">
          <cell r="A501">
            <v>44348</v>
          </cell>
          <cell r="B501" t="str">
            <v>Talal Ahmed Ali Alsharhan</v>
          </cell>
          <cell r="E501" t="str">
            <v>DXB</v>
          </cell>
          <cell r="F501" t="str">
            <v>AM</v>
          </cell>
          <cell r="H501">
            <v>300</v>
          </cell>
          <cell r="I501">
            <v>15000</v>
          </cell>
        </row>
        <row r="502">
          <cell r="A502">
            <v>44348</v>
          </cell>
          <cell r="B502" t="str">
            <v>Khaled Alawadi</v>
          </cell>
          <cell r="E502" t="str">
            <v>F-NE</v>
          </cell>
          <cell r="F502" t="str">
            <v>D</v>
          </cell>
          <cell r="H502">
            <v>1500</v>
          </cell>
          <cell r="I502">
            <v>42857</v>
          </cell>
        </row>
        <row r="503">
          <cell r="A503">
            <v>44348</v>
          </cell>
          <cell r="B503" t="str">
            <v>Bader Al Shehhi</v>
          </cell>
          <cell r="E503" t="str">
            <v>F-NE</v>
          </cell>
          <cell r="F503" t="str">
            <v>AM</v>
          </cell>
          <cell r="H503">
            <v>165</v>
          </cell>
          <cell r="I503">
            <v>4000</v>
          </cell>
        </row>
        <row r="504">
          <cell r="A504">
            <v>44348</v>
          </cell>
          <cell r="B504" t="str">
            <v>Majd Nairoukh</v>
          </cell>
          <cell r="E504" t="str">
            <v>F-NE</v>
          </cell>
          <cell r="F504" t="str">
            <v>AM</v>
          </cell>
          <cell r="H504">
            <v>650</v>
          </cell>
          <cell r="I504">
            <v>24857</v>
          </cell>
        </row>
        <row r="505">
          <cell r="A505">
            <v>44348</v>
          </cell>
          <cell r="B505" t="str">
            <v>Nader AlMustafa</v>
          </cell>
          <cell r="E505" t="str">
            <v>F-NE</v>
          </cell>
          <cell r="F505" t="str">
            <v>AM</v>
          </cell>
          <cell r="H505">
            <v>55</v>
          </cell>
          <cell r="I505">
            <v>4000</v>
          </cell>
        </row>
        <row r="506">
          <cell r="A506">
            <v>44348</v>
          </cell>
          <cell r="B506" t="str">
            <v>Tariq AlAwadhi</v>
          </cell>
          <cell r="E506" t="str">
            <v>F-NE</v>
          </cell>
          <cell r="F506" t="str">
            <v>AM</v>
          </cell>
          <cell r="H506">
            <v>30</v>
          </cell>
          <cell r="I506">
            <v>3500</v>
          </cell>
        </row>
        <row r="507">
          <cell r="A507">
            <v>44348</v>
          </cell>
          <cell r="B507" t="str">
            <v>Yousef Al Baloushi</v>
          </cell>
          <cell r="E507" t="str">
            <v>F-NE</v>
          </cell>
          <cell r="F507" t="str">
            <v>AM</v>
          </cell>
          <cell r="H507">
            <v>600</v>
          </cell>
          <cell r="I507">
            <v>6500</v>
          </cell>
        </row>
        <row r="508">
          <cell r="A508">
            <v>44348</v>
          </cell>
          <cell r="B508" t="str">
            <v>Mazen Adem</v>
          </cell>
          <cell r="E508" t="str">
            <v>KA</v>
          </cell>
          <cell r="F508" t="str">
            <v>D</v>
          </cell>
          <cell r="H508">
            <v>1000</v>
          </cell>
          <cell r="I508">
            <v>34286</v>
          </cell>
        </row>
        <row r="509">
          <cell r="A509">
            <v>44348</v>
          </cell>
          <cell r="B509" t="str">
            <v>Abdel Azim Sharabati</v>
          </cell>
          <cell r="E509" t="str">
            <v>KA</v>
          </cell>
          <cell r="F509" t="str">
            <v>AM</v>
          </cell>
          <cell r="H509">
            <v>120</v>
          </cell>
          <cell r="I509">
            <v>7957</v>
          </cell>
        </row>
        <row r="510">
          <cell r="A510">
            <v>44348</v>
          </cell>
          <cell r="B510" t="str">
            <v>Abraham Cherian</v>
          </cell>
          <cell r="E510" t="str">
            <v>KA</v>
          </cell>
          <cell r="F510" t="str">
            <v>AM</v>
          </cell>
          <cell r="H510">
            <v>200</v>
          </cell>
          <cell r="I510">
            <v>5761</v>
          </cell>
        </row>
        <row r="511">
          <cell r="A511">
            <v>44348</v>
          </cell>
          <cell r="B511" t="str">
            <v>Arjun Subaraman</v>
          </cell>
          <cell r="E511" t="str">
            <v>KA</v>
          </cell>
          <cell r="F511" t="str">
            <v>AM</v>
          </cell>
          <cell r="H511">
            <v>90</v>
          </cell>
          <cell r="I511">
            <v>4467</v>
          </cell>
        </row>
        <row r="512">
          <cell r="A512">
            <v>44348</v>
          </cell>
          <cell r="B512" t="str">
            <v>Ghassan Fouany</v>
          </cell>
          <cell r="E512" t="str">
            <v>KA</v>
          </cell>
          <cell r="F512" t="str">
            <v>AM</v>
          </cell>
          <cell r="H512">
            <v>250</v>
          </cell>
          <cell r="I512">
            <v>7168</v>
          </cell>
        </row>
        <row r="513">
          <cell r="A513">
            <v>44348</v>
          </cell>
          <cell r="B513" t="str">
            <v>Inayat Fazili</v>
          </cell>
          <cell r="E513" t="str">
            <v>KA</v>
          </cell>
          <cell r="F513" t="str">
            <v>AM</v>
          </cell>
          <cell r="H513">
            <v>250</v>
          </cell>
          <cell r="I513">
            <v>4467</v>
          </cell>
        </row>
        <row r="514">
          <cell r="A514">
            <v>44348</v>
          </cell>
          <cell r="B514" t="str">
            <v>Khawla Almansoori</v>
          </cell>
          <cell r="E514" t="str">
            <v>KA</v>
          </cell>
          <cell r="F514" t="str">
            <v>AM</v>
          </cell>
          <cell r="H514">
            <v>90</v>
          </cell>
          <cell r="I514">
            <v>4467</v>
          </cell>
        </row>
        <row r="515">
          <cell r="A515">
            <v>44348</v>
          </cell>
          <cell r="B515" t="str">
            <v>Khalid Karmastaji</v>
          </cell>
          <cell r="E515" t="str">
            <v>KA-AUH</v>
          </cell>
          <cell r="F515" t="str">
            <v>D</v>
          </cell>
          <cell r="H515">
            <v>1500</v>
          </cell>
          <cell r="I515">
            <v>137143</v>
          </cell>
        </row>
        <row r="516">
          <cell r="A516">
            <v>44348</v>
          </cell>
          <cell r="B516" t="str">
            <v>Ammar Alqudsi</v>
          </cell>
          <cell r="E516" t="str">
            <v>KA-AUH</v>
          </cell>
          <cell r="F516" t="str">
            <v>AM</v>
          </cell>
          <cell r="H516">
            <v>290</v>
          </cell>
          <cell r="I516">
            <v>25000</v>
          </cell>
        </row>
        <row r="517">
          <cell r="A517">
            <v>44348</v>
          </cell>
          <cell r="B517" t="str">
            <v>Fadi Murad</v>
          </cell>
          <cell r="E517" t="str">
            <v>KA-AUH</v>
          </cell>
          <cell r="F517" t="str">
            <v>AM</v>
          </cell>
          <cell r="H517">
            <v>270</v>
          </cell>
          <cell r="I517">
            <v>26000</v>
          </cell>
        </row>
        <row r="518">
          <cell r="A518">
            <v>44348</v>
          </cell>
          <cell r="B518" t="str">
            <v>Haifa Alawi</v>
          </cell>
          <cell r="E518" t="str">
            <v>KA-AUH</v>
          </cell>
          <cell r="F518" t="str">
            <v>AM</v>
          </cell>
          <cell r="H518">
            <v>210</v>
          </cell>
          <cell r="I518">
            <v>22143</v>
          </cell>
        </row>
        <row r="519">
          <cell r="A519">
            <v>44348</v>
          </cell>
          <cell r="B519" t="str">
            <v>Osman Basuleman</v>
          </cell>
          <cell r="E519" t="str">
            <v>KA-AUH</v>
          </cell>
          <cell r="F519" t="str">
            <v>AM</v>
          </cell>
          <cell r="H519">
            <v>250</v>
          </cell>
          <cell r="I519">
            <v>20000</v>
          </cell>
        </row>
        <row r="520">
          <cell r="A520">
            <v>44348</v>
          </cell>
          <cell r="B520" t="str">
            <v>Tamer AlMahameed</v>
          </cell>
          <cell r="E520" t="str">
            <v>KA-AUH</v>
          </cell>
          <cell r="F520" t="str">
            <v>AM</v>
          </cell>
          <cell r="H520">
            <v>250</v>
          </cell>
          <cell r="I520">
            <v>23000</v>
          </cell>
        </row>
        <row r="521">
          <cell r="A521">
            <v>44348</v>
          </cell>
          <cell r="B521" t="str">
            <v>Tarek Solh</v>
          </cell>
          <cell r="E521" t="str">
            <v>KA-AUH</v>
          </cell>
          <cell r="F521" t="str">
            <v>AM</v>
          </cell>
          <cell r="H521">
            <v>230</v>
          </cell>
          <cell r="I521">
            <v>21000</v>
          </cell>
        </row>
        <row r="522">
          <cell r="A522">
            <v>44378</v>
          </cell>
          <cell r="B522" t="str">
            <v>Hany Jawee</v>
          </cell>
          <cell r="E522" t="str">
            <v>FCR</v>
          </cell>
          <cell r="F522" t="str">
            <v>D</v>
          </cell>
          <cell r="H522">
            <v>1122.6315789473686</v>
          </cell>
          <cell r="I522">
            <v>225000</v>
          </cell>
        </row>
        <row r="523">
          <cell r="A523">
            <v>44378</v>
          </cell>
          <cell r="B523" t="str">
            <v>Mahmood Murad</v>
          </cell>
          <cell r="E523" t="str">
            <v>FCR</v>
          </cell>
          <cell r="F523" t="str">
            <v>AM</v>
          </cell>
          <cell r="H523">
            <v>59</v>
          </cell>
          <cell r="I523">
            <v>7665.1495965678996</v>
          </cell>
        </row>
        <row r="524">
          <cell r="A524">
            <v>44378</v>
          </cell>
          <cell r="B524" t="str">
            <v>Eslam Hassan</v>
          </cell>
          <cell r="E524" t="str">
            <v>FCR</v>
          </cell>
          <cell r="F524" t="str">
            <v>AM</v>
          </cell>
          <cell r="H524">
            <v>50</v>
          </cell>
          <cell r="I524">
            <v>13282.357856991801</v>
          </cell>
        </row>
        <row r="525">
          <cell r="A525">
            <v>44378</v>
          </cell>
          <cell r="B525" t="str">
            <v>Mansi Trivedi</v>
          </cell>
          <cell r="E525" t="str">
            <v>FCR</v>
          </cell>
          <cell r="F525" t="str">
            <v>AM</v>
          </cell>
          <cell r="H525">
            <v>85</v>
          </cell>
          <cell r="I525">
            <v>10006.431801675501</v>
          </cell>
        </row>
        <row r="526">
          <cell r="A526">
            <v>44378</v>
          </cell>
          <cell r="B526" t="str">
            <v>Mohamad Labban</v>
          </cell>
          <cell r="E526" t="str">
            <v>FCR</v>
          </cell>
          <cell r="F526" t="str">
            <v>AM</v>
          </cell>
          <cell r="H526">
            <v>48</v>
          </cell>
          <cell r="I526">
            <v>10605.973927565999</v>
          </cell>
        </row>
        <row r="527">
          <cell r="A527">
            <v>44378</v>
          </cell>
          <cell r="B527" t="str">
            <v>Mohamed Mostafa</v>
          </cell>
          <cell r="E527" t="str">
            <v>FCR</v>
          </cell>
          <cell r="F527" t="str">
            <v>AM</v>
          </cell>
          <cell r="H527">
            <v>46</v>
          </cell>
          <cell r="I527">
            <v>18662.259923576599</v>
          </cell>
        </row>
        <row r="528">
          <cell r="A528">
            <v>44378</v>
          </cell>
          <cell r="B528" t="str">
            <v>Mohamed Reda</v>
          </cell>
          <cell r="E528" t="str">
            <v>FCR</v>
          </cell>
          <cell r="F528" t="str">
            <v>AM</v>
          </cell>
          <cell r="H528">
            <v>42</v>
          </cell>
          <cell r="I528">
            <v>20367.741203781501</v>
          </cell>
        </row>
        <row r="529">
          <cell r="A529">
            <v>44378</v>
          </cell>
          <cell r="B529" t="str">
            <v>Nadeem Rasheed</v>
          </cell>
          <cell r="E529" t="str">
            <v>FCR</v>
          </cell>
          <cell r="F529" t="str">
            <v>AM</v>
          </cell>
          <cell r="H529">
            <v>42</v>
          </cell>
          <cell r="I529">
            <v>26102.063450225436</v>
          </cell>
        </row>
        <row r="530">
          <cell r="A530">
            <v>44378</v>
          </cell>
          <cell r="B530" t="str">
            <v>Othman Hassan</v>
          </cell>
          <cell r="E530" t="str">
            <v>FCR</v>
          </cell>
          <cell r="F530" t="str">
            <v>AM</v>
          </cell>
          <cell r="H530">
            <v>150</v>
          </cell>
          <cell r="I530">
            <v>12000.396783558799</v>
          </cell>
        </row>
        <row r="531">
          <cell r="A531">
            <v>44378</v>
          </cell>
          <cell r="B531" t="str">
            <v>Rahul Raina</v>
          </cell>
          <cell r="E531" t="str">
            <v>FCR</v>
          </cell>
          <cell r="F531" t="str">
            <v>AM</v>
          </cell>
          <cell r="H531">
            <v>45</v>
          </cell>
          <cell r="I531">
            <v>35029</v>
          </cell>
        </row>
        <row r="532">
          <cell r="A532">
            <v>44378</v>
          </cell>
          <cell r="B532" t="str">
            <v>Ranjith Chandran</v>
          </cell>
          <cell r="E532" t="str">
            <v>FCR</v>
          </cell>
          <cell r="F532" t="str">
            <v>AM</v>
          </cell>
          <cell r="H532">
            <v>45</v>
          </cell>
          <cell r="I532">
            <v>7365.74068225479</v>
          </cell>
        </row>
        <row r="533">
          <cell r="A533">
            <v>44378</v>
          </cell>
          <cell r="B533" t="str">
            <v>Richard Chandy</v>
          </cell>
          <cell r="E533" t="str">
            <v>FCR</v>
          </cell>
          <cell r="F533" t="str">
            <v>AM</v>
          </cell>
          <cell r="H533">
            <v>60</v>
          </cell>
          <cell r="I533">
            <v>7419.0510680170701</v>
          </cell>
        </row>
        <row r="534">
          <cell r="A534">
            <v>44378</v>
          </cell>
          <cell r="B534" t="str">
            <v>Rijith Menon</v>
          </cell>
          <cell r="E534" t="str">
            <v>FCR</v>
          </cell>
          <cell r="F534" t="str">
            <v>AM</v>
          </cell>
          <cell r="H534">
            <v>151</v>
          </cell>
          <cell r="I534">
            <v>9547.8913006762796</v>
          </cell>
        </row>
        <row r="535">
          <cell r="A535">
            <v>44378</v>
          </cell>
          <cell r="B535" t="str">
            <v>Salman Amir</v>
          </cell>
          <cell r="E535" t="str">
            <v>FCR</v>
          </cell>
          <cell r="F535" t="str">
            <v>AM</v>
          </cell>
          <cell r="H535">
            <v>21</v>
          </cell>
          <cell r="I535">
            <v>7235.24068225479</v>
          </cell>
        </row>
        <row r="536">
          <cell r="A536">
            <v>44378</v>
          </cell>
          <cell r="B536" t="str">
            <v>Simon Williams</v>
          </cell>
          <cell r="E536" t="str">
            <v>FCR</v>
          </cell>
          <cell r="F536" t="str">
            <v>AM</v>
          </cell>
          <cell r="H536">
            <v>244</v>
          </cell>
          <cell r="I536">
            <v>31000</v>
          </cell>
        </row>
        <row r="537">
          <cell r="A537">
            <v>44378</v>
          </cell>
          <cell r="B537" t="str">
            <v>Usman Zafar Sipra</v>
          </cell>
          <cell r="E537" t="str">
            <v>FCR</v>
          </cell>
          <cell r="F537" t="str">
            <v>AM</v>
          </cell>
          <cell r="H537">
            <v>35</v>
          </cell>
          <cell r="I537">
            <v>8710.9965484162567</v>
          </cell>
        </row>
        <row r="538">
          <cell r="A538">
            <v>44378</v>
          </cell>
          <cell r="B538" t="str">
            <v>Maitha Bin Malek</v>
          </cell>
          <cell r="E538" t="str">
            <v>HHTT</v>
          </cell>
          <cell r="F538" t="str">
            <v>D</v>
          </cell>
          <cell r="H538">
            <v>643.26315789473676</v>
          </cell>
          <cell r="I538">
            <v>67500</v>
          </cell>
        </row>
        <row r="539">
          <cell r="A539">
            <v>44378</v>
          </cell>
          <cell r="B539" t="str">
            <v>Abdelouahab Belamri</v>
          </cell>
          <cell r="E539" t="str">
            <v>HHTT</v>
          </cell>
          <cell r="F539" t="str">
            <v>AM</v>
          </cell>
          <cell r="H539">
            <v>45</v>
          </cell>
          <cell r="I539">
            <v>12000</v>
          </cell>
        </row>
        <row r="540">
          <cell r="A540">
            <v>44378</v>
          </cell>
          <cell r="B540" t="str">
            <v>Atef Kassem</v>
          </cell>
          <cell r="E540" t="str">
            <v>HHTT</v>
          </cell>
          <cell r="F540" t="str">
            <v>AM</v>
          </cell>
          <cell r="H540">
            <v>45</v>
          </cell>
          <cell r="I540">
            <v>4500</v>
          </cell>
        </row>
        <row r="541">
          <cell r="A541">
            <v>44378</v>
          </cell>
          <cell r="B541" t="str">
            <v>Bashar Al Adilee</v>
          </cell>
          <cell r="E541" t="str">
            <v>HHTT</v>
          </cell>
          <cell r="F541" t="str">
            <v>AM</v>
          </cell>
          <cell r="H541">
            <v>45</v>
          </cell>
          <cell r="I541">
            <v>14000</v>
          </cell>
        </row>
        <row r="542">
          <cell r="A542">
            <v>44378</v>
          </cell>
          <cell r="B542" t="str">
            <v>Favas Kurinhilayil</v>
          </cell>
          <cell r="E542" t="str">
            <v>HHTT</v>
          </cell>
          <cell r="F542" t="str">
            <v>AM</v>
          </cell>
          <cell r="H542">
            <v>173</v>
          </cell>
          <cell r="I542">
            <v>1500</v>
          </cell>
        </row>
        <row r="543">
          <cell r="A543">
            <v>44378</v>
          </cell>
          <cell r="B543" t="str">
            <v>Feroz Shaikh</v>
          </cell>
          <cell r="E543" t="str">
            <v>HHTT</v>
          </cell>
          <cell r="F543" t="str">
            <v>AM</v>
          </cell>
          <cell r="H543">
            <v>45</v>
          </cell>
          <cell r="I543">
            <v>6500</v>
          </cell>
        </row>
        <row r="544">
          <cell r="A544">
            <v>44378</v>
          </cell>
          <cell r="B544" t="str">
            <v>Hasa Alharthi</v>
          </cell>
          <cell r="E544" t="str">
            <v>HHTT</v>
          </cell>
          <cell r="F544" t="str">
            <v>AM</v>
          </cell>
          <cell r="H544">
            <v>10</v>
          </cell>
          <cell r="I544">
            <v>3500</v>
          </cell>
        </row>
        <row r="545">
          <cell r="A545">
            <v>44378</v>
          </cell>
          <cell r="B545" t="str">
            <v>Mohammad Gharaibeh</v>
          </cell>
          <cell r="E545" t="str">
            <v>HHTT</v>
          </cell>
          <cell r="F545" t="str">
            <v>AM</v>
          </cell>
          <cell r="H545">
            <v>35</v>
          </cell>
          <cell r="I545">
            <v>1500</v>
          </cell>
        </row>
        <row r="546">
          <cell r="A546">
            <v>44378</v>
          </cell>
          <cell r="B546" t="str">
            <v>Muhammad Nauman Khan</v>
          </cell>
          <cell r="E546" t="str">
            <v>HHTT</v>
          </cell>
          <cell r="F546" t="str">
            <v>AM</v>
          </cell>
          <cell r="H546">
            <v>45</v>
          </cell>
          <cell r="I546">
            <v>6500</v>
          </cell>
        </row>
        <row r="547">
          <cell r="A547">
            <v>44378</v>
          </cell>
          <cell r="B547" t="str">
            <v>Mushahid Hussain Syed</v>
          </cell>
          <cell r="E547" t="str">
            <v>HHTT</v>
          </cell>
          <cell r="F547" t="str">
            <v>AM</v>
          </cell>
          <cell r="H547">
            <v>35</v>
          </cell>
          <cell r="I547">
            <v>4500</v>
          </cell>
        </row>
        <row r="548">
          <cell r="A548">
            <v>44378</v>
          </cell>
          <cell r="B548" t="str">
            <v>Osama ElWawi</v>
          </cell>
          <cell r="E548" t="str">
            <v>HHTT</v>
          </cell>
          <cell r="F548" t="str">
            <v>AM</v>
          </cell>
          <cell r="H548">
            <v>85</v>
          </cell>
          <cell r="I548">
            <v>13000</v>
          </cell>
        </row>
        <row r="549">
          <cell r="A549">
            <v>44378</v>
          </cell>
          <cell r="B549" t="str">
            <v>Ramez Al Alami</v>
          </cell>
          <cell r="E549" t="str">
            <v>HHTT</v>
          </cell>
          <cell r="F549" t="str">
            <v>AM</v>
          </cell>
          <cell r="H549">
            <v>45</v>
          </cell>
          <cell r="I549">
            <v>5625</v>
          </cell>
        </row>
        <row r="550">
          <cell r="A550">
            <v>44378</v>
          </cell>
          <cell r="B550" t="str">
            <v>Ramy Abdel Fattah</v>
          </cell>
          <cell r="E550" t="str">
            <v>HHTT</v>
          </cell>
          <cell r="F550" t="str">
            <v>AM</v>
          </cell>
          <cell r="H550">
            <v>35</v>
          </cell>
          <cell r="I550">
            <v>4500</v>
          </cell>
        </row>
        <row r="551">
          <cell r="A551">
            <v>44378</v>
          </cell>
          <cell r="B551" t="str">
            <v>Hamzah Nofal</v>
          </cell>
          <cell r="E551" t="str">
            <v>RCOGM</v>
          </cell>
          <cell r="F551" t="str">
            <v>D</v>
          </cell>
          <cell r="H551">
            <v>650</v>
          </cell>
          <cell r="I551">
            <v>82500</v>
          </cell>
        </row>
        <row r="552">
          <cell r="A552">
            <v>44378</v>
          </cell>
          <cell r="B552" t="str">
            <v>Ali Alzarooni</v>
          </cell>
          <cell r="E552" t="str">
            <v>RCOGM</v>
          </cell>
          <cell r="F552" t="str">
            <v>AM</v>
          </cell>
          <cell r="H552">
            <v>50</v>
          </cell>
          <cell r="I552">
            <v>6850</v>
          </cell>
        </row>
        <row r="553">
          <cell r="A553">
            <v>44378</v>
          </cell>
          <cell r="B553" t="str">
            <v>Ali Shahin</v>
          </cell>
          <cell r="E553" t="str">
            <v>RCOGM</v>
          </cell>
          <cell r="F553" t="str">
            <v>AM</v>
          </cell>
          <cell r="H553">
            <v>50</v>
          </cell>
          <cell r="I553">
            <v>6850</v>
          </cell>
        </row>
        <row r="554">
          <cell r="A554">
            <v>44378</v>
          </cell>
          <cell r="B554" t="str">
            <v>Meerza Ramjeed</v>
          </cell>
          <cell r="E554" t="str">
            <v>RCOGM</v>
          </cell>
          <cell r="F554" t="str">
            <v>AM</v>
          </cell>
          <cell r="H554">
            <v>50</v>
          </cell>
          <cell r="I554">
            <v>6850</v>
          </cell>
        </row>
        <row r="555">
          <cell r="A555">
            <v>44378</v>
          </cell>
          <cell r="B555" t="str">
            <v>Mohamed Kishk</v>
          </cell>
          <cell r="E555" t="str">
            <v>RCOGM</v>
          </cell>
          <cell r="F555" t="str">
            <v>AM</v>
          </cell>
          <cell r="H555">
            <v>50</v>
          </cell>
          <cell r="I555">
            <v>6850</v>
          </cell>
        </row>
        <row r="556">
          <cell r="A556">
            <v>44378</v>
          </cell>
          <cell r="B556" t="str">
            <v>Mohd Sheikh Salem</v>
          </cell>
          <cell r="E556" t="str">
            <v>RCOGM</v>
          </cell>
          <cell r="F556" t="str">
            <v>AM</v>
          </cell>
          <cell r="H556">
            <v>50</v>
          </cell>
          <cell r="I556">
            <v>6850</v>
          </cell>
        </row>
        <row r="557">
          <cell r="A557">
            <v>44378</v>
          </cell>
          <cell r="B557" t="str">
            <v>Waseem Choudhary</v>
          </cell>
          <cell r="E557" t="str">
            <v>RCOGM</v>
          </cell>
          <cell r="F557" t="str">
            <v>AM</v>
          </cell>
          <cell r="H557">
            <v>50</v>
          </cell>
          <cell r="I557">
            <v>3500</v>
          </cell>
        </row>
        <row r="558">
          <cell r="A558">
            <v>44378</v>
          </cell>
          <cell r="B558" t="str">
            <v>Ram Arya</v>
          </cell>
          <cell r="E558" t="str">
            <v>RCOGM</v>
          </cell>
          <cell r="F558" t="str">
            <v>AM</v>
          </cell>
          <cell r="H558">
            <v>50</v>
          </cell>
          <cell r="I558">
            <v>6850</v>
          </cell>
        </row>
        <row r="559">
          <cell r="A559">
            <v>44378</v>
          </cell>
          <cell r="B559" t="str">
            <v>Rima Al Safadi</v>
          </cell>
          <cell r="E559" t="str">
            <v>RCOGM</v>
          </cell>
          <cell r="F559" t="str">
            <v>AM</v>
          </cell>
          <cell r="H559">
            <v>50</v>
          </cell>
          <cell r="I559">
            <v>6850</v>
          </cell>
        </row>
        <row r="560">
          <cell r="A560">
            <v>44378</v>
          </cell>
          <cell r="B560" t="str">
            <v>Sana Shaikh</v>
          </cell>
          <cell r="E560" t="str">
            <v>RCOGM</v>
          </cell>
          <cell r="F560" t="str">
            <v>AM</v>
          </cell>
          <cell r="H560">
            <v>50</v>
          </cell>
          <cell r="I560">
            <v>6850</v>
          </cell>
        </row>
        <row r="561">
          <cell r="A561">
            <v>44378</v>
          </cell>
          <cell r="B561" t="str">
            <v>Shabbir Lacewala</v>
          </cell>
          <cell r="E561" t="str">
            <v>RCOGM</v>
          </cell>
          <cell r="F561" t="str">
            <v>AM</v>
          </cell>
          <cell r="H561">
            <v>50</v>
          </cell>
          <cell r="I561">
            <v>6850</v>
          </cell>
        </row>
        <row r="562">
          <cell r="A562">
            <v>44378</v>
          </cell>
          <cell r="B562" t="str">
            <v>Shadab Sheikh</v>
          </cell>
          <cell r="E562" t="str">
            <v>RCOGM</v>
          </cell>
          <cell r="F562" t="str">
            <v>AM</v>
          </cell>
          <cell r="H562">
            <v>50</v>
          </cell>
          <cell r="I562">
            <v>6850</v>
          </cell>
        </row>
        <row r="563">
          <cell r="A563">
            <v>44378</v>
          </cell>
          <cell r="B563" t="str">
            <v>Vandana Dubey</v>
          </cell>
          <cell r="E563" t="str">
            <v>RCOGM</v>
          </cell>
          <cell r="F563" t="str">
            <v>AM</v>
          </cell>
          <cell r="H563">
            <v>50</v>
          </cell>
          <cell r="I563">
            <v>6850</v>
          </cell>
        </row>
        <row r="564">
          <cell r="A564">
            <v>44378</v>
          </cell>
          <cell r="B564" t="str">
            <v>Vineeth Augustine</v>
          </cell>
          <cell r="E564" t="str">
            <v>RCOGM</v>
          </cell>
          <cell r="F564" t="str">
            <v>AM</v>
          </cell>
          <cell r="H564">
            <v>50</v>
          </cell>
          <cell r="I564">
            <v>6850</v>
          </cell>
        </row>
        <row r="565">
          <cell r="A565">
            <v>44378</v>
          </cell>
          <cell r="B565" t="str">
            <v>Mustafa Shalabi</v>
          </cell>
          <cell r="E565" t="str">
            <v>TME</v>
          </cell>
          <cell r="F565" t="str">
            <v>D</v>
          </cell>
          <cell r="H565">
            <v>1185.1578947368421</v>
          </cell>
          <cell r="I565">
            <v>375000</v>
          </cell>
        </row>
        <row r="566">
          <cell r="A566">
            <v>44378</v>
          </cell>
          <cell r="B566" t="str">
            <v>Aamir Mir</v>
          </cell>
          <cell r="E566" t="str">
            <v>TME</v>
          </cell>
          <cell r="F566" t="str">
            <v>AM</v>
          </cell>
          <cell r="H566">
            <v>55</v>
          </cell>
          <cell r="I566">
            <v>20000</v>
          </cell>
        </row>
        <row r="567">
          <cell r="A567">
            <v>44378</v>
          </cell>
          <cell r="B567" t="str">
            <v>Ahmed AlShehhi</v>
          </cell>
          <cell r="E567" t="str">
            <v>TME</v>
          </cell>
          <cell r="F567" t="str">
            <v>AM</v>
          </cell>
          <cell r="H567">
            <v>50</v>
          </cell>
          <cell r="I567">
            <v>15000</v>
          </cell>
        </row>
        <row r="568">
          <cell r="A568">
            <v>44378</v>
          </cell>
          <cell r="B568" t="str">
            <v>Amna Salem</v>
          </cell>
          <cell r="E568" t="str">
            <v>TME</v>
          </cell>
          <cell r="F568" t="str">
            <v>AM</v>
          </cell>
          <cell r="H568">
            <v>45</v>
          </cell>
          <cell r="I568">
            <v>15000</v>
          </cell>
        </row>
        <row r="569">
          <cell r="A569">
            <v>44378</v>
          </cell>
          <cell r="B569" t="str">
            <v>Anastasia Maltseva</v>
          </cell>
          <cell r="E569" t="str">
            <v>TME</v>
          </cell>
          <cell r="F569" t="str">
            <v>AM</v>
          </cell>
          <cell r="H569">
            <v>35</v>
          </cell>
          <cell r="I569">
            <v>15000</v>
          </cell>
        </row>
        <row r="570">
          <cell r="A570">
            <v>44378</v>
          </cell>
          <cell r="B570" t="str">
            <v>Ehab Hajou</v>
          </cell>
          <cell r="E570" t="str">
            <v>TME</v>
          </cell>
          <cell r="F570" t="str">
            <v>AM</v>
          </cell>
          <cell r="H570">
            <v>250</v>
          </cell>
          <cell r="I570">
            <v>40000</v>
          </cell>
        </row>
        <row r="571">
          <cell r="A571">
            <v>44378</v>
          </cell>
          <cell r="B571" t="str">
            <v>Fadi Saleh</v>
          </cell>
          <cell r="E571" t="str">
            <v>TME</v>
          </cell>
          <cell r="F571" t="str">
            <v>AM</v>
          </cell>
          <cell r="H571">
            <v>25</v>
          </cell>
          <cell r="I571">
            <v>60000</v>
          </cell>
        </row>
        <row r="572">
          <cell r="A572">
            <v>44378</v>
          </cell>
          <cell r="B572" t="str">
            <v>Farha Hameed</v>
          </cell>
          <cell r="E572" t="str">
            <v>TME</v>
          </cell>
          <cell r="F572" t="str">
            <v>AM</v>
          </cell>
          <cell r="H572">
            <v>115</v>
          </cell>
          <cell r="I572">
            <v>20000</v>
          </cell>
        </row>
        <row r="573">
          <cell r="A573">
            <v>44378</v>
          </cell>
          <cell r="B573" t="str">
            <v>Jeevantha Ranasinghe</v>
          </cell>
          <cell r="E573" t="str">
            <v>TME</v>
          </cell>
          <cell r="F573" t="str">
            <v>AM</v>
          </cell>
          <cell r="H573">
            <v>25</v>
          </cell>
          <cell r="I573">
            <v>20000</v>
          </cell>
        </row>
        <row r="574">
          <cell r="A574">
            <v>44378</v>
          </cell>
          <cell r="B574" t="str">
            <v>Khalid Mohammed</v>
          </cell>
          <cell r="E574" t="str">
            <v>TME</v>
          </cell>
          <cell r="F574" t="str">
            <v>AM</v>
          </cell>
          <cell r="H574">
            <v>250</v>
          </cell>
          <cell r="I574">
            <v>45000</v>
          </cell>
        </row>
        <row r="575">
          <cell r="A575">
            <v>44378</v>
          </cell>
          <cell r="B575" t="str">
            <v>Ahmad Ozdamir</v>
          </cell>
          <cell r="E575" t="str">
            <v>TME</v>
          </cell>
          <cell r="F575" t="str">
            <v>AM</v>
          </cell>
          <cell r="H575">
            <v>25</v>
          </cell>
          <cell r="I575">
            <v>5000</v>
          </cell>
        </row>
        <row r="576">
          <cell r="A576">
            <v>44378</v>
          </cell>
          <cell r="B576" t="str">
            <v>Amjad Ilwan</v>
          </cell>
          <cell r="E576" t="str">
            <v>TME</v>
          </cell>
          <cell r="F576" t="str">
            <v>AM</v>
          </cell>
          <cell r="H576">
            <v>25</v>
          </cell>
          <cell r="I576">
            <v>10000</v>
          </cell>
        </row>
        <row r="577">
          <cell r="A577">
            <v>44378</v>
          </cell>
          <cell r="B577" t="str">
            <v>Majid Abdulla</v>
          </cell>
          <cell r="E577" t="str">
            <v>TME</v>
          </cell>
          <cell r="F577" t="str">
            <v>AM</v>
          </cell>
          <cell r="H577">
            <v>35</v>
          </cell>
          <cell r="I577">
            <v>25000</v>
          </cell>
        </row>
        <row r="578">
          <cell r="A578">
            <v>44378</v>
          </cell>
          <cell r="B578" t="str">
            <v>Mohamed Abdelkhalek</v>
          </cell>
          <cell r="E578" t="str">
            <v>TME</v>
          </cell>
          <cell r="F578" t="str">
            <v>AM</v>
          </cell>
          <cell r="H578">
            <v>150</v>
          </cell>
          <cell r="I578">
            <v>45000</v>
          </cell>
        </row>
        <row r="579">
          <cell r="A579">
            <v>44378</v>
          </cell>
          <cell r="B579" t="str">
            <v>Suleiman Wanni</v>
          </cell>
          <cell r="E579" t="str">
            <v>TME</v>
          </cell>
          <cell r="F579" t="str">
            <v>AM</v>
          </cell>
          <cell r="H579">
            <v>100</v>
          </cell>
          <cell r="I579">
            <v>40000</v>
          </cell>
        </row>
        <row r="580">
          <cell r="A580">
            <v>44378</v>
          </cell>
          <cell r="B580" t="str">
            <v>Mohamad Amer Sibai</v>
          </cell>
          <cell r="E580" t="str">
            <v>DXB</v>
          </cell>
          <cell r="F580" t="str">
            <v>D</v>
          </cell>
          <cell r="H580">
            <v>700</v>
          </cell>
          <cell r="I580">
            <v>65000</v>
          </cell>
        </row>
        <row r="581">
          <cell r="A581">
            <v>44378</v>
          </cell>
          <cell r="B581" t="str">
            <v>Mohamed Mady</v>
          </cell>
          <cell r="E581" t="str">
            <v>DXB</v>
          </cell>
          <cell r="F581" t="str">
            <v>AM</v>
          </cell>
          <cell r="H581">
            <v>100</v>
          </cell>
          <cell r="I581">
            <v>5000</v>
          </cell>
        </row>
        <row r="582">
          <cell r="A582">
            <v>44378</v>
          </cell>
          <cell r="B582" t="str">
            <v>Ramzi Gholmieh</v>
          </cell>
          <cell r="E582" t="str">
            <v>DXB</v>
          </cell>
          <cell r="F582" t="str">
            <v>AM</v>
          </cell>
          <cell r="H582">
            <v>170</v>
          </cell>
          <cell r="I582">
            <v>18500</v>
          </cell>
        </row>
        <row r="583">
          <cell r="A583">
            <v>44378</v>
          </cell>
          <cell r="B583" t="str">
            <v>Saleh Barami</v>
          </cell>
          <cell r="E583" t="str">
            <v>DXB</v>
          </cell>
          <cell r="F583" t="str">
            <v>AM</v>
          </cell>
          <cell r="H583">
            <v>200</v>
          </cell>
          <cell r="I583">
            <v>23000</v>
          </cell>
        </row>
        <row r="584">
          <cell r="A584">
            <v>44378</v>
          </cell>
          <cell r="B584" t="str">
            <v>Talal Ahmed Ali Alsharhan</v>
          </cell>
          <cell r="E584" t="str">
            <v>DXB</v>
          </cell>
          <cell r="F584" t="str">
            <v>AM</v>
          </cell>
          <cell r="H584">
            <v>230</v>
          </cell>
          <cell r="I584">
            <v>18500</v>
          </cell>
        </row>
        <row r="585">
          <cell r="A585">
            <v>44378</v>
          </cell>
          <cell r="B585" t="str">
            <v>Khaled Alawadi</v>
          </cell>
          <cell r="E585" t="str">
            <v>F-NE</v>
          </cell>
          <cell r="F585" t="str">
            <v>D</v>
          </cell>
          <cell r="H585">
            <v>1100</v>
          </cell>
          <cell r="I585">
            <v>30000</v>
          </cell>
        </row>
        <row r="586">
          <cell r="A586">
            <v>44378</v>
          </cell>
          <cell r="B586" t="str">
            <v>Bader Al Shehhi</v>
          </cell>
          <cell r="E586" t="str">
            <v>F-NE</v>
          </cell>
          <cell r="F586" t="str">
            <v>AM</v>
          </cell>
          <cell r="H586">
            <v>59.594084776983031</v>
          </cell>
          <cell r="I586">
            <v>2500</v>
          </cell>
        </row>
        <row r="587">
          <cell r="A587">
            <v>44378</v>
          </cell>
          <cell r="B587" t="str">
            <v>Majd Nairoukh</v>
          </cell>
          <cell r="E587" t="str">
            <v>F-NE</v>
          </cell>
          <cell r="F587" t="str">
            <v>AM</v>
          </cell>
          <cell r="H587">
            <v>430</v>
          </cell>
          <cell r="I587">
            <v>10000</v>
          </cell>
        </row>
        <row r="588">
          <cell r="A588">
            <v>44378</v>
          </cell>
          <cell r="B588" t="str">
            <v>Nader AlMustafa</v>
          </cell>
          <cell r="E588" t="str">
            <v>F-NE</v>
          </cell>
          <cell r="F588" t="str">
            <v>AM</v>
          </cell>
          <cell r="H588">
            <v>40</v>
          </cell>
          <cell r="I588">
            <v>500</v>
          </cell>
        </row>
        <row r="589">
          <cell r="A589">
            <v>44378</v>
          </cell>
          <cell r="B589" t="str">
            <v>Tariq AlAwadhi</v>
          </cell>
          <cell r="E589" t="str">
            <v>F-NE</v>
          </cell>
          <cell r="F589" t="str">
            <v>AM</v>
          </cell>
          <cell r="H589">
            <v>20</v>
          </cell>
          <cell r="I589">
            <v>5000</v>
          </cell>
        </row>
        <row r="590">
          <cell r="A590">
            <v>44378</v>
          </cell>
          <cell r="B590" t="str">
            <v>Yousef Al Baloushi</v>
          </cell>
          <cell r="E590" t="str">
            <v>F-NE</v>
          </cell>
          <cell r="F590" t="str">
            <v>AM</v>
          </cell>
          <cell r="H590">
            <v>550</v>
          </cell>
          <cell r="I590">
            <v>12000</v>
          </cell>
        </row>
        <row r="591">
          <cell r="A591">
            <v>44378</v>
          </cell>
          <cell r="B591" t="str">
            <v>Khalid Karmastaji</v>
          </cell>
          <cell r="E591" t="str">
            <v>KA-AUH</v>
          </cell>
          <cell r="F591" t="str">
            <v>D</v>
          </cell>
          <cell r="H591">
            <v>1100</v>
          </cell>
          <cell r="I591">
            <v>55000</v>
          </cell>
        </row>
        <row r="592">
          <cell r="A592">
            <v>44378</v>
          </cell>
          <cell r="B592" t="str">
            <v>Ammar Alqudsi</v>
          </cell>
          <cell r="E592" t="str">
            <v>KA-AUH</v>
          </cell>
          <cell r="F592" t="str">
            <v>AM</v>
          </cell>
          <cell r="H592">
            <v>262</v>
          </cell>
          <cell r="I592">
            <v>5000</v>
          </cell>
        </row>
        <row r="593">
          <cell r="A593">
            <v>44378</v>
          </cell>
          <cell r="B593" t="str">
            <v>Osman Basuleman</v>
          </cell>
          <cell r="E593" t="str">
            <v>KA-AUH</v>
          </cell>
          <cell r="F593" t="str">
            <v>AM</v>
          </cell>
          <cell r="H593">
            <v>262</v>
          </cell>
          <cell r="I593">
            <v>5000</v>
          </cell>
        </row>
        <row r="594">
          <cell r="A594">
            <v>44378</v>
          </cell>
          <cell r="B594" t="str">
            <v>Tarek Solh</v>
          </cell>
          <cell r="E594" t="str">
            <v>KA-AUH</v>
          </cell>
          <cell r="F594" t="str">
            <v>AM</v>
          </cell>
          <cell r="H594">
            <v>226</v>
          </cell>
          <cell r="I594">
            <v>20000</v>
          </cell>
        </row>
        <row r="595">
          <cell r="A595">
            <v>44378</v>
          </cell>
          <cell r="B595" t="str">
            <v>Tamer AlMahameed</v>
          </cell>
          <cell r="E595" t="str">
            <v>KA-AUH</v>
          </cell>
          <cell r="F595" t="str">
            <v>AM</v>
          </cell>
          <cell r="H595">
            <v>350</v>
          </cell>
          <cell r="I595">
            <v>25000</v>
          </cell>
        </row>
        <row r="596">
          <cell r="A596">
            <v>44378</v>
          </cell>
          <cell r="B596" t="str">
            <v>Mazen Adem</v>
          </cell>
          <cell r="E596" t="str">
            <v>KA</v>
          </cell>
          <cell r="F596" t="str">
            <v>D</v>
          </cell>
          <cell r="H596">
            <v>600</v>
          </cell>
          <cell r="I596">
            <v>50000</v>
          </cell>
        </row>
        <row r="597">
          <cell r="A597">
            <v>44378</v>
          </cell>
          <cell r="B597" t="str">
            <v>Abdel Azim Sharabati</v>
          </cell>
          <cell r="E597" t="str">
            <v>KA</v>
          </cell>
          <cell r="F597" t="str">
            <v>AM</v>
          </cell>
          <cell r="H597">
            <v>80</v>
          </cell>
          <cell r="I597">
            <v>9000</v>
          </cell>
        </row>
        <row r="598">
          <cell r="A598">
            <v>44378</v>
          </cell>
          <cell r="B598" t="str">
            <v>Abraham Cherian</v>
          </cell>
          <cell r="E598" t="str">
            <v>KA</v>
          </cell>
          <cell r="F598" t="str">
            <v>AM</v>
          </cell>
          <cell r="H598">
            <v>80</v>
          </cell>
          <cell r="I598">
            <v>12000</v>
          </cell>
        </row>
        <row r="599">
          <cell r="A599">
            <v>44378</v>
          </cell>
          <cell r="B599" t="str">
            <v>Arjun Subaraman</v>
          </cell>
          <cell r="E599" t="str">
            <v>KA</v>
          </cell>
          <cell r="F599" t="str">
            <v>AM</v>
          </cell>
          <cell r="H599">
            <v>50</v>
          </cell>
          <cell r="I599">
            <v>16000</v>
          </cell>
        </row>
        <row r="600">
          <cell r="A600">
            <v>44378</v>
          </cell>
          <cell r="B600" t="str">
            <v>Ghassan Fouany</v>
          </cell>
          <cell r="E600" t="str">
            <v>KA</v>
          </cell>
          <cell r="F600" t="str">
            <v>AM</v>
          </cell>
          <cell r="H600">
            <v>170</v>
          </cell>
          <cell r="I600">
            <v>4000</v>
          </cell>
        </row>
        <row r="601">
          <cell r="A601">
            <v>44378</v>
          </cell>
          <cell r="B601" t="str">
            <v>Inayat Fazili</v>
          </cell>
          <cell r="E601" t="str">
            <v>KA</v>
          </cell>
          <cell r="F601" t="str">
            <v>AM</v>
          </cell>
          <cell r="H601">
            <v>180</v>
          </cell>
          <cell r="I601">
            <v>4000</v>
          </cell>
        </row>
        <row r="602">
          <cell r="A602">
            <v>44378</v>
          </cell>
          <cell r="B602" t="str">
            <v>Khawla Almansoori</v>
          </cell>
          <cell r="E602" t="str">
            <v>KA</v>
          </cell>
          <cell r="F602" t="str">
            <v>AM</v>
          </cell>
          <cell r="H602">
            <v>40</v>
          </cell>
          <cell r="I602">
            <v>5000</v>
          </cell>
        </row>
        <row r="603">
          <cell r="A603">
            <v>44409</v>
          </cell>
          <cell r="B603" t="str">
            <v>Hany Jawee</v>
          </cell>
          <cell r="E603" t="str">
            <v>FCR</v>
          </cell>
          <cell r="F603" t="str">
            <v>D</v>
          </cell>
          <cell r="H603">
            <v>1403</v>
          </cell>
          <cell r="I603">
            <v>225000</v>
          </cell>
        </row>
        <row r="604">
          <cell r="A604">
            <v>44409</v>
          </cell>
          <cell r="B604" t="str">
            <v>Eslam Hassan</v>
          </cell>
          <cell r="E604" t="str">
            <v>FCR</v>
          </cell>
          <cell r="F604" t="str">
            <v>AM</v>
          </cell>
          <cell r="H604">
            <v>65</v>
          </cell>
          <cell r="I604">
            <v>15788</v>
          </cell>
        </row>
        <row r="605">
          <cell r="A605">
            <v>44409</v>
          </cell>
          <cell r="B605" t="str">
            <v>Mahmood Murad</v>
          </cell>
          <cell r="E605" t="str">
            <v>FCR</v>
          </cell>
          <cell r="F605" t="str">
            <v>AM</v>
          </cell>
          <cell r="H605">
            <v>64</v>
          </cell>
          <cell r="I605">
            <v>8604</v>
          </cell>
        </row>
        <row r="606">
          <cell r="A606">
            <v>44409</v>
          </cell>
          <cell r="B606" t="str">
            <v>Mansi Trivedi</v>
          </cell>
          <cell r="E606" t="str">
            <v>FCR</v>
          </cell>
          <cell r="F606" t="str">
            <v>AM</v>
          </cell>
          <cell r="H606">
            <v>35</v>
          </cell>
          <cell r="I606">
            <v>50000</v>
          </cell>
        </row>
        <row r="607">
          <cell r="A607">
            <v>44409</v>
          </cell>
          <cell r="B607" t="str">
            <v>Mohamad Labban</v>
          </cell>
          <cell r="E607" t="str">
            <v>FCR</v>
          </cell>
          <cell r="F607" t="str">
            <v>AM</v>
          </cell>
          <cell r="H607">
            <v>70</v>
          </cell>
          <cell r="I607">
            <v>17313</v>
          </cell>
        </row>
        <row r="608">
          <cell r="A608">
            <v>44409</v>
          </cell>
          <cell r="B608" t="str">
            <v>Mohamed Mostafa</v>
          </cell>
          <cell r="E608" t="str">
            <v>FCR</v>
          </cell>
          <cell r="F608" t="str">
            <v>AM</v>
          </cell>
          <cell r="H608">
            <v>85</v>
          </cell>
          <cell r="I608">
            <v>12958</v>
          </cell>
        </row>
        <row r="609">
          <cell r="A609">
            <v>44409</v>
          </cell>
          <cell r="B609" t="str">
            <v>Mohamed Reda</v>
          </cell>
          <cell r="E609" t="str">
            <v>FCR</v>
          </cell>
          <cell r="F609" t="str">
            <v>AM</v>
          </cell>
          <cell r="H609">
            <v>70</v>
          </cell>
          <cell r="I609">
            <v>25172</v>
          </cell>
        </row>
        <row r="610">
          <cell r="A610">
            <v>44409</v>
          </cell>
          <cell r="B610" t="str">
            <v>Nadeem Rasheed</v>
          </cell>
          <cell r="E610" t="str">
            <v>FCR</v>
          </cell>
          <cell r="F610" t="str">
            <v>AM</v>
          </cell>
          <cell r="H610">
            <v>150</v>
          </cell>
          <cell r="I610">
            <v>9048</v>
          </cell>
        </row>
        <row r="611">
          <cell r="A611">
            <v>44409</v>
          </cell>
          <cell r="B611" t="str">
            <v>Othman Hassan</v>
          </cell>
          <cell r="E611" t="str">
            <v>FCR</v>
          </cell>
          <cell r="F611" t="str">
            <v>AM</v>
          </cell>
          <cell r="H611">
            <v>200</v>
          </cell>
          <cell r="I611">
            <v>7000</v>
          </cell>
        </row>
        <row r="612">
          <cell r="A612">
            <v>44409</v>
          </cell>
          <cell r="B612" t="str">
            <v>Rahul Raina</v>
          </cell>
          <cell r="E612" t="str">
            <v>FCR</v>
          </cell>
          <cell r="F612" t="str">
            <v>AM</v>
          </cell>
          <cell r="H612">
            <v>75</v>
          </cell>
          <cell r="I612">
            <v>11000</v>
          </cell>
        </row>
        <row r="613">
          <cell r="A613">
            <v>44409</v>
          </cell>
          <cell r="B613" t="str">
            <v>Ranjith Chandran</v>
          </cell>
          <cell r="E613" t="str">
            <v>FCR</v>
          </cell>
          <cell r="F613" t="str">
            <v>AM</v>
          </cell>
          <cell r="H613">
            <v>74</v>
          </cell>
          <cell r="I613">
            <v>8925</v>
          </cell>
        </row>
        <row r="614">
          <cell r="A614">
            <v>44409</v>
          </cell>
          <cell r="B614" t="str">
            <v>Richard Chandy</v>
          </cell>
          <cell r="E614" t="str">
            <v>FCR</v>
          </cell>
          <cell r="F614" t="str">
            <v>AM</v>
          </cell>
          <cell r="H614">
            <v>80</v>
          </cell>
          <cell r="I614">
            <v>8925</v>
          </cell>
        </row>
        <row r="615">
          <cell r="A615">
            <v>44409</v>
          </cell>
          <cell r="B615" t="str">
            <v>Rijith Menon</v>
          </cell>
          <cell r="E615" t="str">
            <v>FCR</v>
          </cell>
          <cell r="F615" t="str">
            <v>AM</v>
          </cell>
          <cell r="H615">
            <v>120</v>
          </cell>
          <cell r="I615">
            <v>12426</v>
          </cell>
        </row>
        <row r="616">
          <cell r="A616">
            <v>44409</v>
          </cell>
          <cell r="B616" t="str">
            <v>Simon Williams</v>
          </cell>
          <cell r="E616" t="str">
            <v>FCR</v>
          </cell>
          <cell r="F616" t="str">
            <v>AM</v>
          </cell>
          <cell r="H616">
            <v>241</v>
          </cell>
          <cell r="I616">
            <v>29000</v>
          </cell>
        </row>
        <row r="617">
          <cell r="A617">
            <v>44409</v>
          </cell>
          <cell r="B617" t="str">
            <v>Usman Zafar Sipra</v>
          </cell>
          <cell r="E617" t="str">
            <v>FCR</v>
          </cell>
          <cell r="F617" t="str">
            <v>AM</v>
          </cell>
          <cell r="H617">
            <v>74</v>
          </cell>
          <cell r="I617">
            <v>8841</v>
          </cell>
        </row>
        <row r="618">
          <cell r="A618">
            <v>44409</v>
          </cell>
          <cell r="B618" t="str">
            <v>Maitha Bin Malek</v>
          </cell>
          <cell r="E618" t="str">
            <v>HHTT</v>
          </cell>
          <cell r="F618" t="str">
            <v>D</v>
          </cell>
          <cell r="H618">
            <v>804</v>
          </cell>
          <cell r="I618">
            <v>67500</v>
          </cell>
        </row>
        <row r="619">
          <cell r="A619">
            <v>44409</v>
          </cell>
          <cell r="B619" t="str">
            <v>Atef Kassem</v>
          </cell>
          <cell r="E619" t="str">
            <v>HHTT</v>
          </cell>
          <cell r="F619" t="str">
            <v>AM</v>
          </cell>
          <cell r="H619">
            <v>59</v>
          </cell>
          <cell r="I619">
            <v>4500</v>
          </cell>
        </row>
        <row r="620">
          <cell r="A620">
            <v>44409</v>
          </cell>
          <cell r="B620" t="str">
            <v>Bashar Al Adilee</v>
          </cell>
          <cell r="E620" t="str">
            <v>HHTT</v>
          </cell>
          <cell r="F620" t="str">
            <v>AM</v>
          </cell>
          <cell r="H620">
            <v>85</v>
          </cell>
          <cell r="I620">
            <v>13500</v>
          </cell>
        </row>
        <row r="621">
          <cell r="A621">
            <v>44409</v>
          </cell>
          <cell r="B621" t="str">
            <v>Favas Kurinhilayil</v>
          </cell>
          <cell r="E621" t="str">
            <v>HHTT</v>
          </cell>
          <cell r="F621" t="str">
            <v>AM</v>
          </cell>
          <cell r="H621">
            <v>95</v>
          </cell>
          <cell r="I621">
            <v>3500</v>
          </cell>
        </row>
        <row r="622">
          <cell r="A622">
            <v>44409</v>
          </cell>
          <cell r="B622" t="str">
            <v>Feroz Shaikh</v>
          </cell>
          <cell r="E622" t="str">
            <v>HHTT</v>
          </cell>
          <cell r="F622" t="str">
            <v>AM</v>
          </cell>
          <cell r="H622">
            <v>75</v>
          </cell>
          <cell r="I622">
            <v>6500</v>
          </cell>
        </row>
        <row r="623">
          <cell r="A623">
            <v>44409</v>
          </cell>
          <cell r="B623" t="str">
            <v>Hasa Alharthi</v>
          </cell>
          <cell r="E623" t="str">
            <v>HHTT</v>
          </cell>
          <cell r="F623" t="str">
            <v>AM</v>
          </cell>
          <cell r="H623">
            <v>45</v>
          </cell>
          <cell r="I623">
            <v>3500</v>
          </cell>
        </row>
        <row r="624">
          <cell r="A624">
            <v>44409</v>
          </cell>
          <cell r="B624" t="str">
            <v>Mohammad Gharaibeh</v>
          </cell>
          <cell r="E624" t="str">
            <v>HHTT</v>
          </cell>
          <cell r="F624" t="str">
            <v>AM</v>
          </cell>
          <cell r="H624">
            <v>80</v>
          </cell>
          <cell r="I624">
            <v>4500</v>
          </cell>
        </row>
        <row r="625">
          <cell r="A625">
            <v>44409</v>
          </cell>
          <cell r="B625" t="str">
            <v>Muhammad Nauman Khan</v>
          </cell>
          <cell r="E625" t="str">
            <v>HHTT</v>
          </cell>
          <cell r="F625" t="str">
            <v>AM</v>
          </cell>
          <cell r="H625">
            <v>70</v>
          </cell>
          <cell r="I625">
            <v>7500</v>
          </cell>
        </row>
        <row r="626">
          <cell r="A626">
            <v>44409</v>
          </cell>
          <cell r="B626" t="str">
            <v>Mushahid Hussain Syed</v>
          </cell>
          <cell r="E626" t="str">
            <v>HHTT</v>
          </cell>
          <cell r="F626" t="str">
            <v>AM</v>
          </cell>
          <cell r="H626">
            <v>55</v>
          </cell>
          <cell r="I626">
            <v>4500</v>
          </cell>
        </row>
        <row r="627">
          <cell r="A627">
            <v>44409</v>
          </cell>
          <cell r="B627" t="str">
            <v>Osama ElWawi</v>
          </cell>
          <cell r="E627" t="str">
            <v>HHTT</v>
          </cell>
          <cell r="F627" t="str">
            <v>AM</v>
          </cell>
          <cell r="H627">
            <v>90</v>
          </cell>
          <cell r="I627">
            <v>6500</v>
          </cell>
        </row>
        <row r="628">
          <cell r="A628">
            <v>44409</v>
          </cell>
          <cell r="B628" t="str">
            <v>Ramez Al Alami</v>
          </cell>
          <cell r="E628" t="str">
            <v>HHTT</v>
          </cell>
          <cell r="F628" t="str">
            <v>AM</v>
          </cell>
          <cell r="H628">
            <v>75</v>
          </cell>
          <cell r="I628">
            <v>7500</v>
          </cell>
        </row>
        <row r="629">
          <cell r="A629">
            <v>44409</v>
          </cell>
          <cell r="B629" t="str">
            <v>Ramy Abdel Fattah</v>
          </cell>
          <cell r="E629" t="str">
            <v>HHTT</v>
          </cell>
          <cell r="F629" t="str">
            <v>AM</v>
          </cell>
          <cell r="H629">
            <v>75</v>
          </cell>
          <cell r="I629">
            <v>5500</v>
          </cell>
        </row>
        <row r="630">
          <cell r="A630">
            <v>44409</v>
          </cell>
          <cell r="B630" t="str">
            <v>Hamzah Nofal</v>
          </cell>
          <cell r="E630" t="str">
            <v>RCOGM</v>
          </cell>
          <cell r="F630" t="str">
            <v>D</v>
          </cell>
          <cell r="H630">
            <v>811</v>
          </cell>
          <cell r="I630">
            <v>82500</v>
          </cell>
        </row>
        <row r="631">
          <cell r="A631">
            <v>44409</v>
          </cell>
          <cell r="B631" t="str">
            <v>Ali Alzarooni</v>
          </cell>
          <cell r="E631" t="str">
            <v>RCOGM</v>
          </cell>
          <cell r="F631" t="str">
            <v>AM</v>
          </cell>
          <cell r="H631">
            <v>70</v>
          </cell>
          <cell r="I631">
            <v>7250</v>
          </cell>
        </row>
        <row r="632">
          <cell r="A632">
            <v>44409</v>
          </cell>
          <cell r="B632" t="str">
            <v>Ali Shahin</v>
          </cell>
          <cell r="E632" t="str">
            <v>RCOGM</v>
          </cell>
          <cell r="F632" t="str">
            <v>AM</v>
          </cell>
          <cell r="H632">
            <v>70</v>
          </cell>
          <cell r="I632">
            <v>7250</v>
          </cell>
        </row>
        <row r="633">
          <cell r="A633">
            <v>44409</v>
          </cell>
          <cell r="B633" t="str">
            <v>Meerza Ramjeed</v>
          </cell>
          <cell r="E633" t="str">
            <v>RCOGM</v>
          </cell>
          <cell r="F633" t="str">
            <v>AM</v>
          </cell>
          <cell r="H633">
            <v>70</v>
          </cell>
          <cell r="I633">
            <v>7250</v>
          </cell>
        </row>
        <row r="634">
          <cell r="A634">
            <v>44409</v>
          </cell>
          <cell r="B634" t="str">
            <v>Mohamed Kishk</v>
          </cell>
          <cell r="E634" t="str">
            <v>RCOGM</v>
          </cell>
          <cell r="F634" t="str">
            <v>AM</v>
          </cell>
          <cell r="H634">
            <v>70</v>
          </cell>
          <cell r="I634">
            <v>7250</v>
          </cell>
        </row>
        <row r="635">
          <cell r="A635">
            <v>44409</v>
          </cell>
          <cell r="B635" t="str">
            <v>Mohd Sheikh Salem</v>
          </cell>
          <cell r="E635" t="str">
            <v>RCOGM</v>
          </cell>
          <cell r="F635" t="str">
            <v>AM</v>
          </cell>
          <cell r="H635">
            <v>70</v>
          </cell>
          <cell r="I635">
            <v>7250</v>
          </cell>
        </row>
        <row r="636">
          <cell r="A636">
            <v>44409</v>
          </cell>
          <cell r="B636" t="str">
            <v>Waseem Choudhary</v>
          </cell>
          <cell r="E636" t="str">
            <v>RCOGM</v>
          </cell>
          <cell r="F636" t="str">
            <v>AM</v>
          </cell>
          <cell r="H636">
            <v>70</v>
          </cell>
          <cell r="I636">
            <v>5000</v>
          </cell>
        </row>
        <row r="637">
          <cell r="A637">
            <v>44409</v>
          </cell>
          <cell r="B637" t="str">
            <v>Rima Al Safadi</v>
          </cell>
          <cell r="E637" t="str">
            <v>RCOGM</v>
          </cell>
          <cell r="F637" t="str">
            <v>AM</v>
          </cell>
          <cell r="H637">
            <v>70</v>
          </cell>
          <cell r="I637">
            <v>7250</v>
          </cell>
        </row>
        <row r="638">
          <cell r="A638">
            <v>44409</v>
          </cell>
          <cell r="B638" t="str">
            <v>Sana Shaikh</v>
          </cell>
          <cell r="E638" t="str">
            <v>RCOGM</v>
          </cell>
          <cell r="F638" t="str">
            <v>AM</v>
          </cell>
          <cell r="H638">
            <v>70</v>
          </cell>
          <cell r="I638">
            <v>7250</v>
          </cell>
        </row>
        <row r="639">
          <cell r="A639">
            <v>44409</v>
          </cell>
          <cell r="B639" t="str">
            <v>Shabbir Lacewala</v>
          </cell>
          <cell r="E639" t="str">
            <v>RCOGM</v>
          </cell>
          <cell r="F639" t="str">
            <v>AM</v>
          </cell>
          <cell r="H639">
            <v>70</v>
          </cell>
          <cell r="I639">
            <v>7250</v>
          </cell>
        </row>
        <row r="640">
          <cell r="A640">
            <v>44409</v>
          </cell>
          <cell r="B640" t="str">
            <v>Shadab Sheikh</v>
          </cell>
          <cell r="E640" t="str">
            <v>RCOGM</v>
          </cell>
          <cell r="F640" t="str">
            <v>AM</v>
          </cell>
          <cell r="H640">
            <v>70</v>
          </cell>
          <cell r="I640">
            <v>7250</v>
          </cell>
        </row>
        <row r="641">
          <cell r="A641">
            <v>44409</v>
          </cell>
          <cell r="B641" t="str">
            <v>Vandana Dubey</v>
          </cell>
          <cell r="E641" t="str">
            <v>RCOGM</v>
          </cell>
          <cell r="F641" t="str">
            <v>AM</v>
          </cell>
          <cell r="H641">
            <v>70</v>
          </cell>
          <cell r="I641">
            <v>7250</v>
          </cell>
        </row>
        <row r="642">
          <cell r="A642">
            <v>44409</v>
          </cell>
          <cell r="B642" t="str">
            <v>Vineeth Augustine</v>
          </cell>
          <cell r="E642" t="str">
            <v>RCOGM</v>
          </cell>
          <cell r="F642" t="str">
            <v>AM</v>
          </cell>
          <cell r="H642">
            <v>70</v>
          </cell>
          <cell r="I642">
            <v>7250</v>
          </cell>
        </row>
        <row r="643">
          <cell r="A643">
            <v>44409</v>
          </cell>
          <cell r="B643" t="str">
            <v>Mustafa Shalabi</v>
          </cell>
          <cell r="E643" t="str">
            <v>TME</v>
          </cell>
          <cell r="F643" t="str">
            <v>D</v>
          </cell>
          <cell r="H643">
            <v>1482</v>
          </cell>
          <cell r="I643">
            <v>375000</v>
          </cell>
        </row>
        <row r="644">
          <cell r="A644">
            <v>44409</v>
          </cell>
          <cell r="B644" t="str">
            <v>Ahmad Ozdamir</v>
          </cell>
          <cell r="E644" t="str">
            <v>TME</v>
          </cell>
          <cell r="F644" t="str">
            <v>AM</v>
          </cell>
          <cell r="H644">
            <v>35</v>
          </cell>
          <cell r="I644">
            <v>17665</v>
          </cell>
        </row>
        <row r="645">
          <cell r="A645">
            <v>44409</v>
          </cell>
          <cell r="B645" t="str">
            <v>Ahmed AlShehhi</v>
          </cell>
          <cell r="E645" t="str">
            <v>TME</v>
          </cell>
          <cell r="F645" t="str">
            <v>AM</v>
          </cell>
          <cell r="H645">
            <v>45</v>
          </cell>
          <cell r="I645">
            <v>17665</v>
          </cell>
        </row>
        <row r="646">
          <cell r="A646">
            <v>44409</v>
          </cell>
          <cell r="B646" t="str">
            <v>Amjad Ilwan</v>
          </cell>
          <cell r="E646" t="str">
            <v>TME</v>
          </cell>
          <cell r="F646" t="str">
            <v>AM</v>
          </cell>
          <cell r="H646">
            <v>35</v>
          </cell>
          <cell r="I646">
            <v>24024</v>
          </cell>
        </row>
        <row r="647">
          <cell r="A647">
            <v>44409</v>
          </cell>
          <cell r="B647" t="str">
            <v>Amna Salem</v>
          </cell>
          <cell r="E647" t="str">
            <v>TME</v>
          </cell>
          <cell r="F647" t="str">
            <v>AM</v>
          </cell>
          <cell r="H647">
            <v>45</v>
          </cell>
          <cell r="I647">
            <v>17665</v>
          </cell>
        </row>
        <row r="648">
          <cell r="A648">
            <v>44409</v>
          </cell>
          <cell r="B648" t="str">
            <v>Anastasia Maltseva</v>
          </cell>
          <cell r="E648" t="str">
            <v>TME</v>
          </cell>
          <cell r="F648" t="str">
            <v>AM</v>
          </cell>
          <cell r="H648">
            <v>45</v>
          </cell>
          <cell r="I648">
            <v>17665</v>
          </cell>
        </row>
        <row r="649">
          <cell r="A649">
            <v>44409</v>
          </cell>
          <cell r="B649" t="str">
            <v>Ehab Hajou</v>
          </cell>
          <cell r="E649" t="str">
            <v>TME</v>
          </cell>
          <cell r="F649" t="str">
            <v>AM</v>
          </cell>
          <cell r="H649">
            <v>365</v>
          </cell>
          <cell r="I649">
            <v>24024</v>
          </cell>
        </row>
        <row r="650">
          <cell r="A650">
            <v>44409</v>
          </cell>
          <cell r="B650" t="str">
            <v>Fadi Saleh</v>
          </cell>
          <cell r="E650" t="str">
            <v>TME</v>
          </cell>
          <cell r="F650" t="str">
            <v>AM</v>
          </cell>
          <cell r="H650">
            <v>35</v>
          </cell>
          <cell r="I650">
            <v>39024</v>
          </cell>
        </row>
        <row r="651">
          <cell r="A651">
            <v>44409</v>
          </cell>
          <cell r="B651" t="str">
            <v>Farha Hameed</v>
          </cell>
          <cell r="E651" t="str">
            <v>TME</v>
          </cell>
          <cell r="F651" t="str">
            <v>AM</v>
          </cell>
          <cell r="H651">
            <v>75</v>
          </cell>
          <cell r="I651">
            <v>24024</v>
          </cell>
        </row>
        <row r="652">
          <cell r="A652">
            <v>44409</v>
          </cell>
          <cell r="B652" t="str">
            <v>Jeevantha Ranasinghe</v>
          </cell>
          <cell r="E652" t="str">
            <v>TME</v>
          </cell>
          <cell r="F652" t="str">
            <v>AM</v>
          </cell>
          <cell r="H652">
            <v>35</v>
          </cell>
          <cell r="I652">
            <v>24024</v>
          </cell>
        </row>
        <row r="653">
          <cell r="A653">
            <v>44409</v>
          </cell>
          <cell r="B653" t="str">
            <v>Khalid Mohammed</v>
          </cell>
          <cell r="E653" t="str">
            <v>TME</v>
          </cell>
          <cell r="F653" t="str">
            <v>AM</v>
          </cell>
          <cell r="H653">
            <v>445</v>
          </cell>
          <cell r="I653">
            <v>48048</v>
          </cell>
        </row>
        <row r="654">
          <cell r="A654">
            <v>44409</v>
          </cell>
          <cell r="B654" t="str">
            <v>Majid Abdulla</v>
          </cell>
          <cell r="E654" t="str">
            <v>TME</v>
          </cell>
          <cell r="F654" t="str">
            <v>AM</v>
          </cell>
          <cell r="H654">
            <v>45</v>
          </cell>
          <cell r="I654">
            <v>17665</v>
          </cell>
        </row>
        <row r="655">
          <cell r="A655">
            <v>44409</v>
          </cell>
          <cell r="B655" t="str">
            <v>Mohamed Abdelkhalek</v>
          </cell>
          <cell r="E655" t="str">
            <v>TME</v>
          </cell>
          <cell r="F655" t="str">
            <v>AM</v>
          </cell>
          <cell r="H655">
            <v>242</v>
          </cell>
          <cell r="I655">
            <v>36000</v>
          </cell>
        </row>
        <row r="656">
          <cell r="A656">
            <v>44409</v>
          </cell>
          <cell r="B656" t="str">
            <v>Suleiman Wanni</v>
          </cell>
          <cell r="E656" t="str">
            <v>TME</v>
          </cell>
          <cell r="F656" t="str">
            <v>AM</v>
          </cell>
          <cell r="H656">
            <v>35</v>
          </cell>
          <cell r="I656">
            <v>67507</v>
          </cell>
        </row>
        <row r="657">
          <cell r="A657">
            <v>44409</v>
          </cell>
          <cell r="B657" t="str">
            <v>Mohamad Amer Sibai</v>
          </cell>
          <cell r="E657" t="str">
            <v>DXB</v>
          </cell>
          <cell r="F657" t="str">
            <v>D</v>
          </cell>
          <cell r="H657">
            <v>600</v>
          </cell>
          <cell r="I657">
            <v>50000</v>
          </cell>
        </row>
        <row r="658">
          <cell r="A658">
            <v>44409</v>
          </cell>
          <cell r="B658" t="str">
            <v>Mohamed Mady</v>
          </cell>
          <cell r="E658" t="str">
            <v>DXB</v>
          </cell>
          <cell r="F658" t="str">
            <v>AM</v>
          </cell>
          <cell r="H658">
            <v>80</v>
          </cell>
          <cell r="I658">
            <v>10000</v>
          </cell>
        </row>
        <row r="659">
          <cell r="A659">
            <v>44409</v>
          </cell>
          <cell r="B659" t="str">
            <v>Ramzi Gholmieh</v>
          </cell>
          <cell r="E659" t="str">
            <v>DXB</v>
          </cell>
          <cell r="F659" t="str">
            <v>AM</v>
          </cell>
          <cell r="H659">
            <v>100</v>
          </cell>
          <cell r="I659">
            <v>17500</v>
          </cell>
        </row>
        <row r="660">
          <cell r="A660">
            <v>44409</v>
          </cell>
          <cell r="B660" t="str">
            <v>Saleh Barami</v>
          </cell>
          <cell r="E660" t="str">
            <v>DXB</v>
          </cell>
          <cell r="F660" t="str">
            <v>AM</v>
          </cell>
          <cell r="H660">
            <v>290</v>
          </cell>
          <cell r="I660">
            <v>5000</v>
          </cell>
        </row>
        <row r="661">
          <cell r="A661">
            <v>44409</v>
          </cell>
          <cell r="B661" t="str">
            <v>Talal Ahmed Ali Alsharhan</v>
          </cell>
          <cell r="E661" t="str">
            <v>DXB</v>
          </cell>
          <cell r="F661" t="str">
            <v>AM</v>
          </cell>
          <cell r="H661">
            <v>130</v>
          </cell>
          <cell r="I661">
            <v>17500</v>
          </cell>
        </row>
        <row r="662">
          <cell r="A662">
            <v>44409</v>
          </cell>
          <cell r="B662" t="str">
            <v>Khaled Alawadi</v>
          </cell>
          <cell r="E662" t="str">
            <v>F-NE</v>
          </cell>
          <cell r="F662" t="str">
            <v>D</v>
          </cell>
          <cell r="H662">
            <v>1500</v>
          </cell>
          <cell r="I662">
            <v>30000</v>
          </cell>
        </row>
        <row r="663">
          <cell r="A663">
            <v>44409</v>
          </cell>
          <cell r="B663" t="str">
            <v>Bader Al Shehhi</v>
          </cell>
          <cell r="E663" t="str">
            <v>F-NE</v>
          </cell>
          <cell r="F663" t="str">
            <v>AM</v>
          </cell>
          <cell r="H663">
            <v>80</v>
          </cell>
          <cell r="I663">
            <v>4000</v>
          </cell>
        </row>
        <row r="664">
          <cell r="A664">
            <v>44409</v>
          </cell>
          <cell r="B664" t="str">
            <v>Majd Nairoukh</v>
          </cell>
          <cell r="E664" t="str">
            <v>F-NE</v>
          </cell>
          <cell r="F664" t="str">
            <v>AM</v>
          </cell>
          <cell r="H664">
            <v>800</v>
          </cell>
          <cell r="I664">
            <v>8500</v>
          </cell>
        </row>
        <row r="665">
          <cell r="A665">
            <v>44409</v>
          </cell>
          <cell r="B665" t="str">
            <v>Nader AlMustafa</v>
          </cell>
          <cell r="E665" t="str">
            <v>F-NE</v>
          </cell>
          <cell r="F665" t="str">
            <v>AM</v>
          </cell>
          <cell r="H665">
            <v>40</v>
          </cell>
          <cell r="I665">
            <v>13500</v>
          </cell>
        </row>
        <row r="666">
          <cell r="A666">
            <v>44409</v>
          </cell>
          <cell r="B666" t="str">
            <v>Tariq AlAwadhi</v>
          </cell>
          <cell r="E666" t="str">
            <v>F-NE</v>
          </cell>
          <cell r="F666" t="str">
            <v>AM</v>
          </cell>
          <cell r="H666">
            <v>20</v>
          </cell>
          <cell r="I666">
            <v>1500</v>
          </cell>
        </row>
        <row r="667">
          <cell r="A667">
            <v>44409</v>
          </cell>
          <cell r="B667" t="str">
            <v>Yousef Al Baloushi</v>
          </cell>
          <cell r="E667" t="str">
            <v>F-NE</v>
          </cell>
          <cell r="F667" t="str">
            <v>AM</v>
          </cell>
          <cell r="H667">
            <v>560</v>
          </cell>
          <cell r="I667">
            <v>2500</v>
          </cell>
        </row>
        <row r="668">
          <cell r="A668">
            <v>44409</v>
          </cell>
          <cell r="B668" t="str">
            <v>Khalid Karmastaji</v>
          </cell>
          <cell r="E668" t="str">
            <v>KA-AUH</v>
          </cell>
          <cell r="F668" t="str">
            <v>D</v>
          </cell>
          <cell r="H668">
            <v>900</v>
          </cell>
          <cell r="I668">
            <v>45000</v>
          </cell>
        </row>
        <row r="669">
          <cell r="A669">
            <v>44409</v>
          </cell>
          <cell r="B669" t="str">
            <v>Ammar Alqudsi</v>
          </cell>
          <cell r="E669" t="str">
            <v>KA-AUH</v>
          </cell>
          <cell r="F669" t="str">
            <v>AM</v>
          </cell>
          <cell r="H669">
            <v>250</v>
          </cell>
          <cell r="I669">
            <v>13500</v>
          </cell>
        </row>
        <row r="670">
          <cell r="A670">
            <v>44409</v>
          </cell>
          <cell r="B670" t="str">
            <v>Osman Basuleman</v>
          </cell>
          <cell r="E670" t="str">
            <v>KA-AUH</v>
          </cell>
          <cell r="F670" t="str">
            <v>AM</v>
          </cell>
          <cell r="H670">
            <v>250</v>
          </cell>
          <cell r="I670">
            <v>13500</v>
          </cell>
        </row>
        <row r="671">
          <cell r="A671">
            <v>44409</v>
          </cell>
          <cell r="B671" t="str">
            <v>Tarek Solh</v>
          </cell>
          <cell r="E671" t="str">
            <v>KA-AUH</v>
          </cell>
          <cell r="F671" t="str">
            <v>AM</v>
          </cell>
          <cell r="H671">
            <v>400</v>
          </cell>
          <cell r="I671">
            <v>18000</v>
          </cell>
        </row>
        <row r="672">
          <cell r="A672">
            <v>44409</v>
          </cell>
          <cell r="B672" t="str">
            <v>Mazen Adem</v>
          </cell>
          <cell r="E672" t="str">
            <v>KA</v>
          </cell>
          <cell r="F672" t="str">
            <v>D</v>
          </cell>
          <cell r="H672">
            <v>500</v>
          </cell>
          <cell r="I672">
            <v>75000</v>
          </cell>
        </row>
        <row r="673">
          <cell r="A673">
            <v>44409</v>
          </cell>
          <cell r="B673" t="str">
            <v>Abdel Azim Sharabati</v>
          </cell>
          <cell r="E673" t="str">
            <v>KA</v>
          </cell>
          <cell r="F673" t="str">
            <v>AM</v>
          </cell>
          <cell r="H673">
            <v>80</v>
          </cell>
          <cell r="I673">
            <v>15000</v>
          </cell>
        </row>
        <row r="674">
          <cell r="A674">
            <v>44409</v>
          </cell>
          <cell r="B674" t="str">
            <v>Abraham Cherian</v>
          </cell>
          <cell r="E674" t="str">
            <v>KA</v>
          </cell>
          <cell r="F674" t="str">
            <v>AM</v>
          </cell>
          <cell r="H674">
            <v>150</v>
          </cell>
          <cell r="I674">
            <v>5000</v>
          </cell>
        </row>
        <row r="675">
          <cell r="A675">
            <v>44409</v>
          </cell>
          <cell r="B675" t="str">
            <v>Arjun Subaraman</v>
          </cell>
          <cell r="E675" t="str">
            <v>KA</v>
          </cell>
          <cell r="F675" t="str">
            <v>AM</v>
          </cell>
          <cell r="H675">
            <v>60</v>
          </cell>
          <cell r="I675">
            <v>15000</v>
          </cell>
        </row>
        <row r="676">
          <cell r="A676">
            <v>44409</v>
          </cell>
          <cell r="B676" t="str">
            <v>Ghassan Fouany</v>
          </cell>
          <cell r="E676" t="str">
            <v>KA</v>
          </cell>
          <cell r="F676" t="str">
            <v>AM</v>
          </cell>
          <cell r="H676">
            <v>60</v>
          </cell>
          <cell r="I676">
            <v>10000</v>
          </cell>
        </row>
        <row r="677">
          <cell r="A677">
            <v>44409</v>
          </cell>
          <cell r="B677" t="str">
            <v>Inayat Fazili</v>
          </cell>
          <cell r="E677" t="str">
            <v>KA</v>
          </cell>
          <cell r="F677" t="str">
            <v>AM</v>
          </cell>
          <cell r="H677">
            <v>50</v>
          </cell>
          <cell r="I677">
            <v>23000</v>
          </cell>
        </row>
        <row r="678">
          <cell r="A678">
            <v>44409</v>
          </cell>
          <cell r="B678" t="str">
            <v>Khawla Almansoori</v>
          </cell>
          <cell r="E678" t="str">
            <v>KA</v>
          </cell>
          <cell r="F678" t="str">
            <v>AM</v>
          </cell>
          <cell r="H678">
            <v>100</v>
          </cell>
          <cell r="I678">
            <v>7000</v>
          </cell>
        </row>
        <row r="679">
          <cell r="A679">
            <v>44440</v>
          </cell>
          <cell r="B679" t="str">
            <v>Mohamad Amer Sibai</v>
          </cell>
          <cell r="E679" t="str">
            <v>DXB</v>
          </cell>
          <cell r="F679" t="str">
            <v>D</v>
          </cell>
          <cell r="H679">
            <v>1500</v>
          </cell>
          <cell r="I679">
            <v>65000</v>
          </cell>
        </row>
        <row r="680">
          <cell r="A680">
            <v>44440</v>
          </cell>
          <cell r="B680" t="str">
            <v>Mohamed Mady</v>
          </cell>
          <cell r="E680" t="str">
            <v>DXB</v>
          </cell>
          <cell r="F680" t="str">
            <v>AM</v>
          </cell>
          <cell r="H680">
            <v>70</v>
          </cell>
          <cell r="I680">
            <v>10000</v>
          </cell>
        </row>
        <row r="681">
          <cell r="A681">
            <v>44440</v>
          </cell>
          <cell r="B681" t="str">
            <v>Ramzi Gholmieh</v>
          </cell>
          <cell r="E681" t="str">
            <v>DXB</v>
          </cell>
          <cell r="F681" t="str">
            <v>AM</v>
          </cell>
          <cell r="H681">
            <v>600</v>
          </cell>
          <cell r="I681">
            <v>16000</v>
          </cell>
        </row>
        <row r="682">
          <cell r="A682">
            <v>44440</v>
          </cell>
          <cell r="B682" t="str">
            <v>Saleh Barami</v>
          </cell>
          <cell r="E682" t="str">
            <v>DXB</v>
          </cell>
          <cell r="F682" t="str">
            <v>AM</v>
          </cell>
          <cell r="H682">
            <v>230</v>
          </cell>
          <cell r="I682">
            <v>18000</v>
          </cell>
        </row>
        <row r="683">
          <cell r="A683">
            <v>44440</v>
          </cell>
          <cell r="B683" t="str">
            <v>Talal Ahmed Ali Alsharhan</v>
          </cell>
          <cell r="E683" t="str">
            <v>DXB</v>
          </cell>
          <cell r="F683" t="str">
            <v>AM</v>
          </cell>
          <cell r="H683">
            <v>600</v>
          </cell>
          <cell r="I683">
            <v>21000</v>
          </cell>
        </row>
        <row r="684">
          <cell r="A684">
            <v>44440</v>
          </cell>
          <cell r="B684" t="str">
            <v>Khaled Alawadi</v>
          </cell>
          <cell r="E684" t="str">
            <v>F-NE</v>
          </cell>
          <cell r="F684" t="str">
            <v>D</v>
          </cell>
          <cell r="H684">
            <v>2500</v>
          </cell>
          <cell r="I684">
            <v>100000</v>
          </cell>
        </row>
        <row r="685">
          <cell r="A685">
            <v>44440</v>
          </cell>
          <cell r="B685" t="str">
            <v>Bader Al Shehhi</v>
          </cell>
          <cell r="E685" t="str">
            <v>F-NE</v>
          </cell>
          <cell r="F685" t="str">
            <v>AM</v>
          </cell>
          <cell r="H685">
            <v>200</v>
          </cell>
          <cell r="I685">
            <v>3500</v>
          </cell>
        </row>
        <row r="686">
          <cell r="A686">
            <v>44440</v>
          </cell>
          <cell r="B686" t="str">
            <v>Majd Nairoukh</v>
          </cell>
          <cell r="E686" t="str">
            <v>F-NE</v>
          </cell>
          <cell r="F686" t="str">
            <v>AM</v>
          </cell>
          <cell r="H686">
            <v>1130</v>
          </cell>
          <cell r="I686">
            <v>89000</v>
          </cell>
        </row>
        <row r="687">
          <cell r="A687">
            <v>44440</v>
          </cell>
          <cell r="B687" t="str">
            <v>Nader AlMustafa</v>
          </cell>
          <cell r="E687" t="str">
            <v>F-NE</v>
          </cell>
          <cell r="F687" t="str">
            <v>AM</v>
          </cell>
          <cell r="H687">
            <v>200</v>
          </cell>
          <cell r="I687">
            <v>2500</v>
          </cell>
        </row>
        <row r="688">
          <cell r="A688">
            <v>44440</v>
          </cell>
          <cell r="B688" t="str">
            <v>Tariq AlAwadhi</v>
          </cell>
          <cell r="E688" t="str">
            <v>F-NE</v>
          </cell>
          <cell r="F688" t="str">
            <v>AM</v>
          </cell>
          <cell r="H688">
            <v>20</v>
          </cell>
          <cell r="I688">
            <v>2500</v>
          </cell>
        </row>
        <row r="689">
          <cell r="A689">
            <v>44440</v>
          </cell>
          <cell r="B689" t="str">
            <v>Yousef Al Baloushi</v>
          </cell>
          <cell r="E689" t="str">
            <v>F-NE</v>
          </cell>
          <cell r="F689" t="str">
            <v>AM</v>
          </cell>
          <cell r="H689">
            <v>950</v>
          </cell>
          <cell r="I689">
            <v>2500</v>
          </cell>
        </row>
        <row r="690">
          <cell r="A690">
            <v>44440</v>
          </cell>
          <cell r="B690" t="str">
            <v>Khalid Karmastaji</v>
          </cell>
          <cell r="E690" t="str">
            <v>KA-AUH</v>
          </cell>
          <cell r="F690" t="str">
            <v>D</v>
          </cell>
          <cell r="H690">
            <v>1500</v>
          </cell>
          <cell r="I690">
            <v>45000</v>
          </cell>
        </row>
        <row r="691">
          <cell r="A691">
            <v>44440</v>
          </cell>
          <cell r="B691" t="str">
            <v>Ammar Alqudsi</v>
          </cell>
          <cell r="E691" t="str">
            <v>KA-AUH</v>
          </cell>
          <cell r="F691" t="str">
            <v>AM</v>
          </cell>
          <cell r="H691">
            <v>480</v>
          </cell>
          <cell r="I691">
            <v>14000</v>
          </cell>
        </row>
        <row r="692">
          <cell r="A692">
            <v>44440</v>
          </cell>
          <cell r="B692" t="str">
            <v>Osman Basuleman</v>
          </cell>
          <cell r="E692" t="str">
            <v>KA-AUH</v>
          </cell>
          <cell r="F692" t="str">
            <v>AM</v>
          </cell>
          <cell r="H692">
            <v>400</v>
          </cell>
          <cell r="I692">
            <v>12000</v>
          </cell>
        </row>
        <row r="693">
          <cell r="A693">
            <v>44440</v>
          </cell>
          <cell r="B693" t="str">
            <v>Tarek Solh</v>
          </cell>
          <cell r="E693" t="str">
            <v>KA-AUH</v>
          </cell>
          <cell r="F693" t="str">
            <v>AM</v>
          </cell>
          <cell r="H693">
            <v>500</v>
          </cell>
          <cell r="I693">
            <v>13000</v>
          </cell>
        </row>
        <row r="694">
          <cell r="A694">
            <v>44440</v>
          </cell>
          <cell r="B694" t="str">
            <v>Abdulrahman Alaryani</v>
          </cell>
          <cell r="E694" t="str">
            <v>KA-AUH</v>
          </cell>
          <cell r="F694" t="str">
            <v>AM</v>
          </cell>
          <cell r="H694">
            <v>30</v>
          </cell>
          <cell r="I694">
            <v>1500</v>
          </cell>
        </row>
        <row r="695">
          <cell r="A695">
            <v>44440</v>
          </cell>
          <cell r="B695" t="str">
            <v>Khamis Almakrani</v>
          </cell>
          <cell r="E695" t="str">
            <v>KA-AUH</v>
          </cell>
          <cell r="F695" t="str">
            <v>AM</v>
          </cell>
          <cell r="H695">
            <v>30</v>
          </cell>
          <cell r="I695">
            <v>1500</v>
          </cell>
        </row>
        <row r="696">
          <cell r="A696">
            <v>44440</v>
          </cell>
          <cell r="B696" t="str">
            <v>Ahmed Almansoori</v>
          </cell>
          <cell r="E696" t="str">
            <v>KA-AUH</v>
          </cell>
          <cell r="F696" t="str">
            <v>AM</v>
          </cell>
          <cell r="H696">
            <v>30</v>
          </cell>
          <cell r="I696">
            <v>1500</v>
          </cell>
        </row>
        <row r="697">
          <cell r="A697">
            <v>44440</v>
          </cell>
          <cell r="B697" t="str">
            <v>Khaled Alshamsi</v>
          </cell>
          <cell r="E697" t="str">
            <v>KA-AUH</v>
          </cell>
          <cell r="F697" t="str">
            <v>AM</v>
          </cell>
          <cell r="H697">
            <v>30</v>
          </cell>
          <cell r="I697">
            <v>1500</v>
          </cell>
        </row>
        <row r="698">
          <cell r="A698">
            <v>44440</v>
          </cell>
          <cell r="B698" t="str">
            <v>Mazen Adem</v>
          </cell>
          <cell r="E698" t="str">
            <v>KA</v>
          </cell>
          <cell r="F698" t="str">
            <v>D</v>
          </cell>
          <cell r="H698">
            <v>500</v>
          </cell>
          <cell r="I698">
            <v>90000</v>
          </cell>
        </row>
        <row r="699">
          <cell r="A699">
            <v>44440</v>
          </cell>
          <cell r="B699" t="str">
            <v>Abdel Azim Sharabati</v>
          </cell>
          <cell r="E699" t="str">
            <v>KA</v>
          </cell>
          <cell r="F699" t="str">
            <v>AM</v>
          </cell>
          <cell r="H699">
            <v>90</v>
          </cell>
          <cell r="I699">
            <v>11000</v>
          </cell>
        </row>
        <row r="700">
          <cell r="A700">
            <v>44440</v>
          </cell>
          <cell r="B700" t="str">
            <v>Abraham Cherian</v>
          </cell>
          <cell r="E700" t="str">
            <v>KA</v>
          </cell>
          <cell r="F700" t="str">
            <v>AM</v>
          </cell>
          <cell r="H700">
            <v>80</v>
          </cell>
          <cell r="I700">
            <v>8000</v>
          </cell>
        </row>
        <row r="701">
          <cell r="A701">
            <v>44440</v>
          </cell>
          <cell r="B701" t="str">
            <v>Arjun Subaraman</v>
          </cell>
          <cell r="E701" t="str">
            <v>KA</v>
          </cell>
          <cell r="F701" t="str">
            <v>AM</v>
          </cell>
          <cell r="H701">
            <v>70</v>
          </cell>
          <cell r="I701">
            <v>20000</v>
          </cell>
        </row>
        <row r="702">
          <cell r="A702">
            <v>44440</v>
          </cell>
          <cell r="B702" t="str">
            <v>Ghassan Fouany</v>
          </cell>
          <cell r="E702" t="str">
            <v>KA</v>
          </cell>
          <cell r="F702" t="str">
            <v>AM</v>
          </cell>
          <cell r="H702">
            <v>100</v>
          </cell>
          <cell r="I702">
            <v>18000</v>
          </cell>
        </row>
        <row r="703">
          <cell r="A703">
            <v>44440</v>
          </cell>
          <cell r="B703" t="str">
            <v>Inayat Fazili</v>
          </cell>
          <cell r="E703" t="str">
            <v>KA</v>
          </cell>
          <cell r="F703" t="str">
            <v>AM</v>
          </cell>
          <cell r="H703">
            <v>70</v>
          </cell>
          <cell r="I703">
            <v>18000</v>
          </cell>
        </row>
        <row r="704">
          <cell r="A704">
            <v>44440</v>
          </cell>
          <cell r="B704" t="str">
            <v>Khawla Almansoori</v>
          </cell>
          <cell r="E704" t="str">
            <v>KA</v>
          </cell>
          <cell r="F704" t="str">
            <v>AM</v>
          </cell>
          <cell r="H704">
            <v>90</v>
          </cell>
          <cell r="I704">
            <v>15000</v>
          </cell>
        </row>
        <row r="705">
          <cell r="A705">
            <v>44440</v>
          </cell>
          <cell r="B705" t="str">
            <v>Hany Jawee</v>
          </cell>
          <cell r="E705" t="str">
            <v>FCR</v>
          </cell>
          <cell r="F705" t="str">
            <v>D</v>
          </cell>
          <cell r="H705">
            <v>1403</v>
          </cell>
          <cell r="I705">
            <v>240300</v>
          </cell>
        </row>
        <row r="706">
          <cell r="A706">
            <v>44440</v>
          </cell>
          <cell r="B706" t="str">
            <v>Mahmood Murad</v>
          </cell>
          <cell r="E706" t="str">
            <v>FCR</v>
          </cell>
          <cell r="F706" t="str">
            <v>AM</v>
          </cell>
          <cell r="H706">
            <v>86.861248786621303</v>
          </cell>
          <cell r="I706">
            <v>5083.0548755436002</v>
          </cell>
        </row>
        <row r="707">
          <cell r="A707">
            <v>44440</v>
          </cell>
          <cell r="B707" t="str">
            <v>Eslam Hassan</v>
          </cell>
          <cell r="E707" t="str">
            <v>FCR</v>
          </cell>
          <cell r="F707" t="str">
            <v>AM</v>
          </cell>
          <cell r="H707">
            <v>68.6851307813006</v>
          </cell>
          <cell r="I707">
            <v>8281.9861142226</v>
          </cell>
        </row>
        <row r="708">
          <cell r="A708">
            <v>44440</v>
          </cell>
          <cell r="B708" t="str">
            <v>Mansi Trivedi</v>
          </cell>
          <cell r="E708" t="str">
            <v>FCR</v>
          </cell>
          <cell r="F708" t="str">
            <v>AM</v>
          </cell>
          <cell r="H708">
            <v>68.651693589999994</v>
          </cell>
          <cell r="I708">
            <v>8177.3687138347595</v>
          </cell>
        </row>
        <row r="709">
          <cell r="A709">
            <v>44440</v>
          </cell>
          <cell r="B709" t="str">
            <v>Mohamad Labban</v>
          </cell>
          <cell r="E709" t="str">
            <v>FCR</v>
          </cell>
          <cell r="F709" t="str">
            <v>AM</v>
          </cell>
          <cell r="H709">
            <v>86.861248786621303</v>
          </cell>
          <cell r="I709">
            <v>10999.327458195699</v>
          </cell>
        </row>
        <row r="710">
          <cell r="A710">
            <v>44440</v>
          </cell>
          <cell r="B710" t="str">
            <v>Mohamed Mostafa</v>
          </cell>
          <cell r="E710" t="str">
            <v>FCR</v>
          </cell>
          <cell r="F710" t="str">
            <v>AM</v>
          </cell>
          <cell r="H710">
            <v>87.306356621637406</v>
          </cell>
          <cell r="I710">
            <v>10608.0632865569</v>
          </cell>
        </row>
        <row r="711">
          <cell r="A711">
            <v>44440</v>
          </cell>
          <cell r="B711" t="str">
            <v>Mohamed Reda</v>
          </cell>
          <cell r="E711" t="str">
            <v>FCR</v>
          </cell>
          <cell r="F711" t="str">
            <v>AM</v>
          </cell>
          <cell r="H711">
            <v>86.861248786621303</v>
          </cell>
          <cell r="I711">
            <v>17890</v>
          </cell>
        </row>
        <row r="712">
          <cell r="A712">
            <v>44440</v>
          </cell>
          <cell r="B712" t="str">
            <v>Nadeem Rasheed</v>
          </cell>
          <cell r="E712" t="str">
            <v>FCR</v>
          </cell>
          <cell r="F712" t="str">
            <v>AM</v>
          </cell>
          <cell r="H712">
            <v>126.861248786621</v>
          </cell>
          <cell r="I712">
            <v>40134.407055502998</v>
          </cell>
        </row>
        <row r="713">
          <cell r="A713">
            <v>44440</v>
          </cell>
          <cell r="B713" t="str">
            <v>Othman Hassan</v>
          </cell>
          <cell r="E713" t="str">
            <v>FCR</v>
          </cell>
          <cell r="F713" t="str">
            <v>AM</v>
          </cell>
          <cell r="H713">
            <v>130.410118375677</v>
          </cell>
          <cell r="I713">
            <v>8608.0632865569005</v>
          </cell>
        </row>
        <row r="714">
          <cell r="A714">
            <v>44440</v>
          </cell>
          <cell r="B714" t="str">
            <v>Rahul Raina</v>
          </cell>
          <cell r="E714" t="str">
            <v>FCR</v>
          </cell>
          <cell r="F714" t="str">
            <v>AM</v>
          </cell>
          <cell r="H714">
            <v>97.182494462775594</v>
          </cell>
          <cell r="I714">
            <v>12608.0632865569</v>
          </cell>
        </row>
        <row r="715">
          <cell r="A715">
            <v>44440</v>
          </cell>
          <cell r="B715" t="str">
            <v>Ranjith Chandran</v>
          </cell>
          <cell r="E715" t="str">
            <v>FCR</v>
          </cell>
          <cell r="F715" t="str">
            <v>AM</v>
          </cell>
          <cell r="H715">
            <v>68.861248786621303</v>
          </cell>
          <cell r="I715">
            <v>8608.0632865569805</v>
          </cell>
        </row>
        <row r="716">
          <cell r="A716">
            <v>44440</v>
          </cell>
          <cell r="B716" t="str">
            <v>Richard Chandy</v>
          </cell>
          <cell r="E716" t="str">
            <v>FCR</v>
          </cell>
          <cell r="F716" t="str">
            <v>AM</v>
          </cell>
          <cell r="H716">
            <v>57.861248786621303</v>
          </cell>
          <cell r="I716">
            <v>43984.2620581136</v>
          </cell>
        </row>
        <row r="717">
          <cell r="A717">
            <v>44440</v>
          </cell>
          <cell r="B717" t="str">
            <v>Rijith Menon</v>
          </cell>
          <cell r="E717" t="str">
            <v>FCR</v>
          </cell>
          <cell r="F717" t="str">
            <v>AM</v>
          </cell>
          <cell r="H717">
            <v>126.730749207391</v>
          </cell>
          <cell r="I717">
            <v>42522.461799297598</v>
          </cell>
        </row>
        <row r="718">
          <cell r="A718">
            <v>44440</v>
          </cell>
          <cell r="B718" t="str">
            <v>Simon Williams</v>
          </cell>
          <cell r="E718" t="str">
            <v>FCR</v>
          </cell>
          <cell r="F718" t="str">
            <v>AM</v>
          </cell>
          <cell r="H718">
            <v>241.14346666824801</v>
          </cell>
          <cell r="I718">
            <v>12608.0632865569</v>
          </cell>
        </row>
        <row r="719">
          <cell r="A719">
            <v>44440</v>
          </cell>
          <cell r="B719" t="str">
            <v>Usman Zafar Sipra</v>
          </cell>
          <cell r="E719" t="str">
            <v>FCR</v>
          </cell>
          <cell r="F719" t="str">
            <v>AM</v>
          </cell>
          <cell r="H719">
            <v>68.861248786621303</v>
          </cell>
          <cell r="I719">
            <v>10187.132184263601</v>
          </cell>
        </row>
        <row r="720">
          <cell r="A720">
            <v>44440</v>
          </cell>
          <cell r="B720" t="str">
            <v>Maitha Bin Malek</v>
          </cell>
          <cell r="E720" t="str">
            <v>HHTT</v>
          </cell>
          <cell r="F720" t="str">
            <v>D</v>
          </cell>
          <cell r="H720">
            <v>804</v>
          </cell>
          <cell r="I720">
            <v>72090</v>
          </cell>
        </row>
        <row r="721">
          <cell r="A721">
            <v>44440</v>
          </cell>
          <cell r="B721" t="str">
            <v>Atef Kassem</v>
          </cell>
          <cell r="E721" t="str">
            <v>HHTT</v>
          </cell>
          <cell r="F721" t="str">
            <v>AM</v>
          </cell>
          <cell r="H721">
            <v>60</v>
          </cell>
          <cell r="I721">
            <v>5181.8210290084971</v>
          </cell>
        </row>
        <row r="722">
          <cell r="A722">
            <v>44440</v>
          </cell>
          <cell r="B722" t="str">
            <v>Bashar Al Adilee</v>
          </cell>
          <cell r="E722" t="str">
            <v>HHTT</v>
          </cell>
          <cell r="F722" t="str">
            <v>AM</v>
          </cell>
          <cell r="H722">
            <v>90</v>
          </cell>
          <cell r="I722">
            <v>7500</v>
          </cell>
        </row>
        <row r="723">
          <cell r="A723">
            <v>44440</v>
          </cell>
          <cell r="B723" t="str">
            <v>Favas Kurinhilayil</v>
          </cell>
          <cell r="E723" t="str">
            <v>HHTT</v>
          </cell>
          <cell r="F723" t="str">
            <v>AM</v>
          </cell>
          <cell r="H723">
            <v>80</v>
          </cell>
          <cell r="I723">
            <v>4500</v>
          </cell>
        </row>
        <row r="724">
          <cell r="A724">
            <v>44440</v>
          </cell>
          <cell r="B724" t="str">
            <v>Feroz Shaikh</v>
          </cell>
          <cell r="E724" t="str">
            <v>HHTT</v>
          </cell>
          <cell r="F724" t="str">
            <v>AM</v>
          </cell>
          <cell r="H724">
            <v>85</v>
          </cell>
          <cell r="I724">
            <v>8500</v>
          </cell>
        </row>
        <row r="725">
          <cell r="A725">
            <v>44440</v>
          </cell>
          <cell r="B725" t="str">
            <v>Hasa Alharthi</v>
          </cell>
          <cell r="E725" t="str">
            <v>HHTT</v>
          </cell>
          <cell r="F725" t="str">
            <v>AM</v>
          </cell>
          <cell r="H725">
            <v>50</v>
          </cell>
          <cell r="I725">
            <v>5500</v>
          </cell>
        </row>
        <row r="726">
          <cell r="A726">
            <v>44440</v>
          </cell>
          <cell r="B726" t="str">
            <v>Mohammad Gharaibeh</v>
          </cell>
          <cell r="E726" t="str">
            <v>HHTT</v>
          </cell>
          <cell r="F726" t="str">
            <v>AM</v>
          </cell>
          <cell r="H726">
            <v>134</v>
          </cell>
          <cell r="I726">
            <v>4500</v>
          </cell>
        </row>
        <row r="727">
          <cell r="A727">
            <v>44440</v>
          </cell>
          <cell r="B727" t="str">
            <v>Muhammad Nauman Khan</v>
          </cell>
          <cell r="E727" t="str">
            <v>HHTT</v>
          </cell>
          <cell r="F727" t="str">
            <v>AM</v>
          </cell>
          <cell r="H727">
            <v>73</v>
          </cell>
          <cell r="I727">
            <v>6500</v>
          </cell>
        </row>
        <row r="728">
          <cell r="A728">
            <v>44440</v>
          </cell>
          <cell r="B728" t="str">
            <v>Mushahid Hussain Syed</v>
          </cell>
          <cell r="E728" t="str">
            <v>HHTT</v>
          </cell>
          <cell r="F728" t="str">
            <v>AM</v>
          </cell>
          <cell r="H728">
            <v>60</v>
          </cell>
          <cell r="I728">
            <v>5500</v>
          </cell>
        </row>
        <row r="729">
          <cell r="A729">
            <v>44440</v>
          </cell>
          <cell r="B729" t="str">
            <v>Osama ElWawi</v>
          </cell>
          <cell r="E729" t="str">
            <v>HHTT</v>
          </cell>
          <cell r="F729" t="str">
            <v>AM</v>
          </cell>
          <cell r="H729">
            <v>67</v>
          </cell>
          <cell r="I729">
            <v>7500</v>
          </cell>
        </row>
        <row r="730">
          <cell r="A730">
            <v>44440</v>
          </cell>
          <cell r="B730" t="str">
            <v>Ramez Al Alami</v>
          </cell>
          <cell r="E730" t="str">
            <v>HHTT</v>
          </cell>
          <cell r="F730" t="str">
            <v>AM</v>
          </cell>
          <cell r="H730">
            <v>60</v>
          </cell>
          <cell r="I730">
            <v>8500</v>
          </cell>
        </row>
        <row r="731">
          <cell r="A731">
            <v>44440</v>
          </cell>
          <cell r="B731" t="str">
            <v>Ramy Abdel Fattah</v>
          </cell>
          <cell r="E731" t="str">
            <v>HHTT</v>
          </cell>
          <cell r="F731" t="str">
            <v>AM</v>
          </cell>
          <cell r="H731">
            <v>45</v>
          </cell>
          <cell r="I731">
            <v>8408</v>
          </cell>
        </row>
        <row r="732">
          <cell r="A732">
            <v>44440</v>
          </cell>
          <cell r="B732" t="str">
            <v>Hamzah Nofal</v>
          </cell>
          <cell r="E732" t="str">
            <v>RCOGM</v>
          </cell>
          <cell r="F732" t="str">
            <v>D</v>
          </cell>
          <cell r="H732">
            <v>811</v>
          </cell>
          <cell r="I732">
            <v>88300</v>
          </cell>
        </row>
        <row r="733">
          <cell r="A733">
            <v>44440</v>
          </cell>
          <cell r="B733" t="str">
            <v>Ali Alzarooni</v>
          </cell>
          <cell r="E733" t="str">
            <v>RCOGM</v>
          </cell>
          <cell r="F733" t="str">
            <v>AM</v>
          </cell>
          <cell r="H733">
            <v>110</v>
          </cell>
          <cell r="I733">
            <v>5000</v>
          </cell>
        </row>
        <row r="734">
          <cell r="A734">
            <v>44440</v>
          </cell>
          <cell r="B734" t="str">
            <v>Ali Shahin</v>
          </cell>
          <cell r="E734" t="str">
            <v>RCOGM</v>
          </cell>
          <cell r="F734" t="str">
            <v>AM</v>
          </cell>
          <cell r="H734">
            <v>110</v>
          </cell>
          <cell r="I734">
            <v>5000</v>
          </cell>
        </row>
        <row r="735">
          <cell r="A735">
            <v>44440</v>
          </cell>
          <cell r="B735" t="str">
            <v>Meerza Ramjeed</v>
          </cell>
          <cell r="E735" t="str">
            <v>RCOGM</v>
          </cell>
          <cell r="F735" t="str">
            <v>AM</v>
          </cell>
          <cell r="H735">
            <v>55</v>
          </cell>
          <cell r="I735">
            <v>8900</v>
          </cell>
        </row>
        <row r="736">
          <cell r="A736">
            <v>44440</v>
          </cell>
          <cell r="B736" t="str">
            <v>Mohamed Kishk</v>
          </cell>
          <cell r="E736" t="str">
            <v>RCOGM</v>
          </cell>
          <cell r="F736" t="str">
            <v>AM</v>
          </cell>
          <cell r="H736">
            <v>55</v>
          </cell>
          <cell r="I736">
            <v>8900</v>
          </cell>
        </row>
        <row r="737">
          <cell r="A737">
            <v>44440</v>
          </cell>
          <cell r="B737" t="str">
            <v>Mohd Sheikh Salem</v>
          </cell>
          <cell r="E737" t="str">
            <v>RCOGM</v>
          </cell>
          <cell r="F737" t="str">
            <v>AM</v>
          </cell>
          <cell r="H737">
            <v>110</v>
          </cell>
          <cell r="I737">
            <v>5000</v>
          </cell>
        </row>
        <row r="738">
          <cell r="A738">
            <v>44440</v>
          </cell>
          <cell r="B738" t="str">
            <v>Waseem Choudhary</v>
          </cell>
          <cell r="E738" t="str">
            <v>RCOGM</v>
          </cell>
          <cell r="F738" t="str">
            <v>AM</v>
          </cell>
          <cell r="H738">
            <v>55</v>
          </cell>
          <cell r="I738">
            <v>8900</v>
          </cell>
        </row>
        <row r="739">
          <cell r="A739">
            <v>44440</v>
          </cell>
          <cell r="B739" t="str">
            <v>Rima Al Safadi</v>
          </cell>
          <cell r="E739" t="str">
            <v>RCOGM</v>
          </cell>
          <cell r="F739" t="str">
            <v>AM</v>
          </cell>
          <cell r="H739">
            <v>65</v>
          </cell>
          <cell r="I739">
            <v>6000</v>
          </cell>
        </row>
        <row r="740">
          <cell r="A740">
            <v>44440</v>
          </cell>
          <cell r="B740" t="str">
            <v>Sana Shaikh</v>
          </cell>
          <cell r="E740" t="str">
            <v>RCOGM</v>
          </cell>
          <cell r="F740" t="str">
            <v>AM</v>
          </cell>
          <cell r="H740">
            <v>55</v>
          </cell>
          <cell r="I740">
            <v>8900</v>
          </cell>
        </row>
        <row r="741">
          <cell r="A741">
            <v>44440</v>
          </cell>
          <cell r="B741" t="str">
            <v>Shabbir Lacewala</v>
          </cell>
          <cell r="E741" t="str">
            <v>RCOGM</v>
          </cell>
          <cell r="F741" t="str">
            <v>AM</v>
          </cell>
          <cell r="H741">
            <v>55</v>
          </cell>
          <cell r="I741">
            <v>8900</v>
          </cell>
        </row>
        <row r="742">
          <cell r="A742">
            <v>44440</v>
          </cell>
          <cell r="B742" t="str">
            <v>Shadab Sheikh</v>
          </cell>
          <cell r="E742" t="str">
            <v>RCOGM</v>
          </cell>
          <cell r="F742" t="str">
            <v>AM</v>
          </cell>
          <cell r="H742">
            <v>55</v>
          </cell>
          <cell r="I742">
            <v>5000</v>
          </cell>
        </row>
        <row r="743">
          <cell r="A743">
            <v>44440</v>
          </cell>
          <cell r="B743" t="str">
            <v>Vandana Dubey</v>
          </cell>
          <cell r="E743" t="str">
            <v>RCOGM</v>
          </cell>
          <cell r="F743" t="str">
            <v>AM</v>
          </cell>
          <cell r="H743">
            <v>55</v>
          </cell>
          <cell r="I743">
            <v>8900</v>
          </cell>
        </row>
        <row r="744">
          <cell r="A744">
            <v>44440</v>
          </cell>
          <cell r="B744" t="str">
            <v>Vineeth Augustine</v>
          </cell>
          <cell r="E744" t="str">
            <v>RCOGM</v>
          </cell>
          <cell r="F744" t="str">
            <v>AM</v>
          </cell>
          <cell r="H744">
            <v>55</v>
          </cell>
          <cell r="I744">
            <v>8900</v>
          </cell>
        </row>
        <row r="745">
          <cell r="A745">
            <v>44440</v>
          </cell>
          <cell r="B745" t="str">
            <v>Mustafa Shalabi</v>
          </cell>
          <cell r="E745" t="str">
            <v>TME</v>
          </cell>
          <cell r="F745" t="str">
            <v>D</v>
          </cell>
          <cell r="H745">
            <v>1482</v>
          </cell>
          <cell r="I745">
            <v>400500</v>
          </cell>
        </row>
        <row r="746">
          <cell r="A746">
            <v>44440</v>
          </cell>
          <cell r="B746" t="str">
            <v>Ahmed AlShehhi</v>
          </cell>
          <cell r="E746" t="str">
            <v>TME</v>
          </cell>
          <cell r="F746" t="str">
            <v>AM</v>
          </cell>
          <cell r="H746">
            <v>43</v>
          </cell>
          <cell r="I746">
            <v>19000</v>
          </cell>
        </row>
        <row r="747">
          <cell r="A747">
            <v>44440</v>
          </cell>
          <cell r="B747" t="str">
            <v>Amna Salem</v>
          </cell>
          <cell r="E747" t="str">
            <v>TME</v>
          </cell>
          <cell r="F747" t="str">
            <v>AM</v>
          </cell>
          <cell r="H747">
            <v>43</v>
          </cell>
          <cell r="I747">
            <v>19000</v>
          </cell>
        </row>
        <row r="748">
          <cell r="A748">
            <v>44440</v>
          </cell>
          <cell r="B748" t="str">
            <v>Anastasia Maltseva</v>
          </cell>
          <cell r="E748" t="str">
            <v>TME</v>
          </cell>
          <cell r="F748" t="str">
            <v>AM</v>
          </cell>
          <cell r="H748">
            <v>43</v>
          </cell>
          <cell r="I748">
            <v>19000</v>
          </cell>
        </row>
        <row r="749">
          <cell r="A749">
            <v>44440</v>
          </cell>
          <cell r="B749" t="str">
            <v>Ehab Hajou</v>
          </cell>
          <cell r="E749" t="str">
            <v>TME</v>
          </cell>
          <cell r="F749" t="str">
            <v>AM</v>
          </cell>
          <cell r="H749">
            <v>77</v>
          </cell>
          <cell r="I749">
            <v>33000</v>
          </cell>
        </row>
        <row r="750">
          <cell r="A750">
            <v>44440</v>
          </cell>
          <cell r="B750" t="str">
            <v>Fadi Saleh</v>
          </cell>
          <cell r="E750" t="str">
            <v>TME</v>
          </cell>
          <cell r="F750" t="str">
            <v>AM</v>
          </cell>
          <cell r="H750">
            <v>77</v>
          </cell>
          <cell r="I750">
            <v>43000</v>
          </cell>
        </row>
        <row r="751">
          <cell r="A751">
            <v>44440</v>
          </cell>
          <cell r="B751" t="str">
            <v>Farha Hameed</v>
          </cell>
          <cell r="E751" t="str">
            <v>TME</v>
          </cell>
          <cell r="F751" t="str">
            <v>AM</v>
          </cell>
          <cell r="H751">
            <v>77</v>
          </cell>
          <cell r="I751">
            <v>19000</v>
          </cell>
        </row>
        <row r="752">
          <cell r="A752">
            <v>44440</v>
          </cell>
          <cell r="B752" t="str">
            <v>Jeevantha Ranasinghe</v>
          </cell>
          <cell r="E752" t="str">
            <v>TME</v>
          </cell>
          <cell r="F752" t="str">
            <v>AM</v>
          </cell>
          <cell r="H752">
            <v>25</v>
          </cell>
          <cell r="I752">
            <v>45000</v>
          </cell>
        </row>
        <row r="753">
          <cell r="A753">
            <v>44440</v>
          </cell>
          <cell r="B753" t="str">
            <v>Khalid Mohammed</v>
          </cell>
          <cell r="E753" t="str">
            <v>TME</v>
          </cell>
          <cell r="F753" t="str">
            <v>AM</v>
          </cell>
          <cell r="H753">
            <v>300</v>
          </cell>
          <cell r="I753">
            <v>45000</v>
          </cell>
        </row>
        <row r="754">
          <cell r="A754">
            <v>44440</v>
          </cell>
          <cell r="B754" t="str">
            <v>Ahmad Ozdamir</v>
          </cell>
          <cell r="E754" t="str">
            <v>TME</v>
          </cell>
          <cell r="F754" t="str">
            <v>AM</v>
          </cell>
          <cell r="H754">
            <v>300</v>
          </cell>
          <cell r="I754">
            <v>19000</v>
          </cell>
        </row>
        <row r="755">
          <cell r="A755">
            <v>44440</v>
          </cell>
          <cell r="B755" t="str">
            <v>Amjad Ilwan</v>
          </cell>
          <cell r="E755" t="str">
            <v>TME</v>
          </cell>
          <cell r="F755" t="str">
            <v>AM</v>
          </cell>
          <cell r="H755">
            <v>43</v>
          </cell>
          <cell r="I755">
            <v>20500</v>
          </cell>
        </row>
        <row r="756">
          <cell r="A756">
            <v>44440</v>
          </cell>
          <cell r="B756" t="str">
            <v>Majid Abdulla</v>
          </cell>
          <cell r="E756" t="str">
            <v>TME</v>
          </cell>
          <cell r="F756" t="str">
            <v>AM</v>
          </cell>
          <cell r="H756">
            <v>77</v>
          </cell>
          <cell r="I756">
            <v>19000</v>
          </cell>
        </row>
        <row r="757">
          <cell r="A757">
            <v>44440</v>
          </cell>
          <cell r="B757" t="str">
            <v>Mohamed Abdelkhalek</v>
          </cell>
          <cell r="E757" t="str">
            <v>TME</v>
          </cell>
          <cell r="F757" t="str">
            <v>AM</v>
          </cell>
          <cell r="H757">
            <v>300</v>
          </cell>
          <cell r="I757">
            <v>45000</v>
          </cell>
        </row>
        <row r="758">
          <cell r="A758">
            <v>44440</v>
          </cell>
          <cell r="B758" t="str">
            <v>Suleiman Wanni</v>
          </cell>
          <cell r="E758" t="str">
            <v>TME</v>
          </cell>
          <cell r="F758" t="str">
            <v>AM</v>
          </cell>
          <cell r="H758">
            <v>77</v>
          </cell>
          <cell r="I758">
            <v>55000</v>
          </cell>
        </row>
        <row r="759">
          <cell r="A759">
            <v>44470</v>
          </cell>
          <cell r="B759" t="str">
            <v>Mohamad Amer Sibai</v>
          </cell>
          <cell r="E759" t="str">
            <v>DXB</v>
          </cell>
          <cell r="F759" t="str">
            <v>D</v>
          </cell>
          <cell r="H759">
            <v>1500</v>
          </cell>
          <cell r="I759">
            <v>90000</v>
          </cell>
        </row>
        <row r="760">
          <cell r="A760">
            <v>44470</v>
          </cell>
          <cell r="B760" t="str">
            <v>Mohamed Mady</v>
          </cell>
          <cell r="E760" t="str">
            <v>DXB</v>
          </cell>
          <cell r="F760" t="str">
            <v>AM</v>
          </cell>
          <cell r="H760">
            <v>150</v>
          </cell>
          <cell r="I760">
            <v>13000</v>
          </cell>
        </row>
        <row r="761">
          <cell r="A761">
            <v>44470</v>
          </cell>
          <cell r="B761" t="str">
            <v>Ramzi Gholmieh</v>
          </cell>
          <cell r="E761" t="str">
            <v>DXB</v>
          </cell>
          <cell r="F761" t="str">
            <v>AM</v>
          </cell>
          <cell r="H761">
            <v>350</v>
          </cell>
          <cell r="I761">
            <v>35000</v>
          </cell>
        </row>
        <row r="762">
          <cell r="A762">
            <v>44470</v>
          </cell>
          <cell r="B762" t="str">
            <v>Saleh Barami</v>
          </cell>
          <cell r="E762" t="str">
            <v>DXB</v>
          </cell>
          <cell r="F762" t="str">
            <v>AM</v>
          </cell>
          <cell r="H762">
            <v>500</v>
          </cell>
          <cell r="I762">
            <v>21000</v>
          </cell>
        </row>
        <row r="763">
          <cell r="A763">
            <v>44470</v>
          </cell>
          <cell r="B763" t="str">
            <v>Talal Ahmed Ali Alsharhan</v>
          </cell>
          <cell r="E763" t="str">
            <v>DXB</v>
          </cell>
          <cell r="F763" t="str">
            <v>AM</v>
          </cell>
          <cell r="H763">
            <v>500</v>
          </cell>
          <cell r="I763">
            <v>21000</v>
          </cell>
        </row>
        <row r="764">
          <cell r="A764">
            <v>44470</v>
          </cell>
          <cell r="B764" t="str">
            <v>Khaled Alawadi</v>
          </cell>
          <cell r="E764" t="str">
            <v>F-NE</v>
          </cell>
          <cell r="F764" t="str">
            <v>D</v>
          </cell>
          <cell r="H764">
            <v>3000</v>
          </cell>
          <cell r="I764">
            <v>50000</v>
          </cell>
        </row>
        <row r="765">
          <cell r="A765">
            <v>44470</v>
          </cell>
          <cell r="B765" t="str">
            <v>Bader Al Shehhi</v>
          </cell>
          <cell r="E765" t="str">
            <v>F-NE</v>
          </cell>
          <cell r="F765" t="str">
            <v>AM</v>
          </cell>
          <cell r="H765">
            <v>380</v>
          </cell>
          <cell r="I765">
            <v>1500</v>
          </cell>
        </row>
        <row r="766">
          <cell r="A766">
            <v>44470</v>
          </cell>
          <cell r="B766" t="str">
            <v>Majd Nairoukh</v>
          </cell>
          <cell r="E766" t="str">
            <v>F-NE</v>
          </cell>
          <cell r="F766" t="str">
            <v>AM</v>
          </cell>
          <cell r="H766">
            <v>1500</v>
          </cell>
          <cell r="I766">
            <v>42500</v>
          </cell>
        </row>
        <row r="767">
          <cell r="A767">
            <v>44470</v>
          </cell>
          <cell r="B767" t="str">
            <v>Nader AlMustafa</v>
          </cell>
          <cell r="E767" t="str">
            <v>F-NE</v>
          </cell>
          <cell r="F767" t="str">
            <v>AM</v>
          </cell>
          <cell r="H767">
            <v>50</v>
          </cell>
          <cell r="I767">
            <v>2000</v>
          </cell>
        </row>
        <row r="768">
          <cell r="A768">
            <v>44470</v>
          </cell>
          <cell r="B768" t="str">
            <v>Tariq AlAwadhi</v>
          </cell>
          <cell r="E768" t="str">
            <v>F-NE</v>
          </cell>
          <cell r="F768" t="str">
            <v>AM</v>
          </cell>
          <cell r="H768">
            <v>20</v>
          </cell>
          <cell r="I768">
            <v>500</v>
          </cell>
        </row>
        <row r="769">
          <cell r="A769">
            <v>44470</v>
          </cell>
          <cell r="B769" t="str">
            <v>Yousef Al Baloushi</v>
          </cell>
          <cell r="E769" t="str">
            <v>F-NE</v>
          </cell>
          <cell r="F769" t="str">
            <v>AM</v>
          </cell>
          <cell r="H769">
            <v>1050</v>
          </cell>
          <cell r="I769">
            <v>3500</v>
          </cell>
        </row>
        <row r="770">
          <cell r="A770">
            <v>44470</v>
          </cell>
          <cell r="B770" t="str">
            <v>Khalid Karmastaji</v>
          </cell>
          <cell r="E770" t="str">
            <v>KA-AUH</v>
          </cell>
          <cell r="F770" t="str">
            <v>D</v>
          </cell>
          <cell r="H770">
            <v>2000</v>
          </cell>
          <cell r="I770">
            <v>70000</v>
          </cell>
        </row>
        <row r="771">
          <cell r="A771">
            <v>44470</v>
          </cell>
          <cell r="B771" t="str">
            <v>Ammar Alqudsi</v>
          </cell>
          <cell r="E771" t="str">
            <v>KA-AUH</v>
          </cell>
          <cell r="F771" t="str">
            <v>AM</v>
          </cell>
          <cell r="H771">
            <v>550</v>
          </cell>
          <cell r="I771">
            <v>11000</v>
          </cell>
        </row>
        <row r="772">
          <cell r="A772">
            <v>44470</v>
          </cell>
          <cell r="B772" t="str">
            <v>Osman Basuleman</v>
          </cell>
          <cell r="E772" t="str">
            <v>KA-AUH</v>
          </cell>
          <cell r="F772" t="str">
            <v>AM</v>
          </cell>
          <cell r="H772">
            <v>550</v>
          </cell>
          <cell r="I772">
            <v>10000</v>
          </cell>
        </row>
        <row r="773">
          <cell r="A773">
            <v>44470</v>
          </cell>
          <cell r="B773" t="str">
            <v>Tarek Solh</v>
          </cell>
          <cell r="E773" t="str">
            <v>KA-AUH</v>
          </cell>
          <cell r="F773" t="str">
            <v>AM</v>
          </cell>
          <cell r="H773">
            <v>500</v>
          </cell>
          <cell r="I773">
            <v>41000</v>
          </cell>
        </row>
        <row r="774">
          <cell r="A774">
            <v>44470</v>
          </cell>
          <cell r="B774" t="str">
            <v>Abdulrahman Alaryani</v>
          </cell>
          <cell r="E774" t="str">
            <v>KA-AUH</v>
          </cell>
          <cell r="F774" t="str">
            <v>AM</v>
          </cell>
          <cell r="H774">
            <v>100</v>
          </cell>
          <cell r="I774">
            <v>2000</v>
          </cell>
        </row>
        <row r="775">
          <cell r="A775">
            <v>44470</v>
          </cell>
          <cell r="B775" t="str">
            <v>Khamis Almakrani</v>
          </cell>
          <cell r="E775" t="str">
            <v>KA-AUH</v>
          </cell>
          <cell r="F775" t="str">
            <v>AM</v>
          </cell>
          <cell r="H775">
            <v>100</v>
          </cell>
          <cell r="I775">
            <v>2000</v>
          </cell>
        </row>
        <row r="776">
          <cell r="A776">
            <v>44470</v>
          </cell>
          <cell r="B776" t="str">
            <v>Ahmed Almansoori</v>
          </cell>
          <cell r="E776" t="str">
            <v>KA-AUH</v>
          </cell>
          <cell r="F776" t="str">
            <v>AM</v>
          </cell>
          <cell r="H776">
            <v>100</v>
          </cell>
          <cell r="I776">
            <v>2000</v>
          </cell>
        </row>
        <row r="777">
          <cell r="A777">
            <v>44470</v>
          </cell>
          <cell r="B777" t="str">
            <v>Khaled Alshamsi</v>
          </cell>
          <cell r="E777" t="str">
            <v>KA-AUH</v>
          </cell>
          <cell r="F777" t="str">
            <v>AM</v>
          </cell>
          <cell r="H777">
            <v>100</v>
          </cell>
          <cell r="I777">
            <v>2000</v>
          </cell>
        </row>
        <row r="778">
          <cell r="A778">
            <v>44470</v>
          </cell>
          <cell r="B778" t="str">
            <v>Mazen Adem</v>
          </cell>
          <cell r="E778" t="str">
            <v>KA</v>
          </cell>
          <cell r="F778" t="str">
            <v>D</v>
          </cell>
          <cell r="H778">
            <v>600</v>
          </cell>
          <cell r="I778">
            <v>90000</v>
          </cell>
        </row>
        <row r="779">
          <cell r="A779">
            <v>44470</v>
          </cell>
          <cell r="B779" t="str">
            <v>Abdel Azim Sharabati</v>
          </cell>
          <cell r="E779" t="str">
            <v>KA</v>
          </cell>
          <cell r="F779" t="str">
            <v>AM</v>
          </cell>
          <cell r="H779">
            <v>130</v>
          </cell>
          <cell r="I779">
            <v>14000</v>
          </cell>
        </row>
        <row r="780">
          <cell r="A780">
            <v>44470</v>
          </cell>
          <cell r="B780" t="str">
            <v>Abraham Cherian</v>
          </cell>
          <cell r="E780" t="str">
            <v>KA</v>
          </cell>
          <cell r="F780" t="str">
            <v>AM</v>
          </cell>
          <cell r="H780">
            <v>85</v>
          </cell>
          <cell r="I780">
            <v>10000</v>
          </cell>
        </row>
        <row r="781">
          <cell r="A781">
            <v>44470</v>
          </cell>
          <cell r="B781" t="str">
            <v>Arjun Subaraman</v>
          </cell>
          <cell r="E781" t="str">
            <v>KA</v>
          </cell>
          <cell r="F781" t="str">
            <v>AM</v>
          </cell>
          <cell r="H781">
            <v>85</v>
          </cell>
          <cell r="I781">
            <v>18000</v>
          </cell>
        </row>
        <row r="782">
          <cell r="A782">
            <v>44470</v>
          </cell>
          <cell r="B782" t="str">
            <v>Ghassan Fouany</v>
          </cell>
          <cell r="E782" t="str">
            <v>KA</v>
          </cell>
          <cell r="F782" t="str">
            <v>AM</v>
          </cell>
          <cell r="H782">
            <v>160</v>
          </cell>
          <cell r="I782">
            <v>8000</v>
          </cell>
        </row>
        <row r="783">
          <cell r="A783">
            <v>44470</v>
          </cell>
          <cell r="B783" t="str">
            <v>Inayat Fazili</v>
          </cell>
          <cell r="E783" t="str">
            <v>KA</v>
          </cell>
          <cell r="F783" t="str">
            <v>AM</v>
          </cell>
          <cell r="H783">
            <v>75</v>
          </cell>
          <cell r="I783">
            <v>20000</v>
          </cell>
        </row>
        <row r="784">
          <cell r="A784">
            <v>44470</v>
          </cell>
          <cell r="B784" t="str">
            <v>Khawla Almansoori</v>
          </cell>
          <cell r="E784" t="str">
            <v>KA</v>
          </cell>
          <cell r="F784" t="str">
            <v>AM</v>
          </cell>
          <cell r="H784">
            <v>65</v>
          </cell>
          <cell r="I784">
            <v>20000</v>
          </cell>
        </row>
        <row r="785">
          <cell r="A785">
            <v>44470</v>
          </cell>
          <cell r="B785" t="str">
            <v>Mustafa Shalabi</v>
          </cell>
          <cell r="E785" t="str">
            <v>FCR</v>
          </cell>
          <cell r="F785" t="str">
            <v>D</v>
          </cell>
          <cell r="H785">
            <v>1500</v>
          </cell>
        </row>
        <row r="786">
          <cell r="A786">
            <v>44470</v>
          </cell>
          <cell r="B786" t="str">
            <v>Eslam Hassan</v>
          </cell>
          <cell r="E786" t="str">
            <v>FCR</v>
          </cell>
          <cell r="F786" t="str">
            <v>AM</v>
          </cell>
          <cell r="H786">
            <v>85</v>
          </cell>
        </row>
        <row r="787">
          <cell r="A787">
            <v>44470</v>
          </cell>
          <cell r="B787" t="str">
            <v>Mahmood Murad</v>
          </cell>
          <cell r="E787" t="str">
            <v>FCR</v>
          </cell>
          <cell r="F787" t="str">
            <v>AM</v>
          </cell>
          <cell r="H787">
            <v>110</v>
          </cell>
        </row>
        <row r="788">
          <cell r="A788">
            <v>44470</v>
          </cell>
          <cell r="B788" t="str">
            <v>Mansi Trivedi</v>
          </cell>
          <cell r="E788" t="str">
            <v>FCR</v>
          </cell>
          <cell r="F788" t="str">
            <v>AM</v>
          </cell>
          <cell r="H788">
            <v>85</v>
          </cell>
        </row>
        <row r="789">
          <cell r="A789">
            <v>44470</v>
          </cell>
          <cell r="B789" t="str">
            <v>Mohamad Labban</v>
          </cell>
          <cell r="E789" t="str">
            <v>FCR</v>
          </cell>
          <cell r="F789" t="str">
            <v>AM</v>
          </cell>
          <cell r="H789">
            <v>110</v>
          </cell>
        </row>
        <row r="790">
          <cell r="A790">
            <v>44470</v>
          </cell>
          <cell r="B790" t="str">
            <v>Mohamed Mostafa</v>
          </cell>
          <cell r="E790" t="str">
            <v>FCR</v>
          </cell>
          <cell r="F790" t="str">
            <v>AM</v>
          </cell>
          <cell r="H790">
            <v>110</v>
          </cell>
        </row>
        <row r="791">
          <cell r="A791">
            <v>44470</v>
          </cell>
          <cell r="B791" t="str">
            <v>Mohamed Reda</v>
          </cell>
          <cell r="E791" t="str">
            <v>FCR</v>
          </cell>
          <cell r="F791" t="str">
            <v>AM</v>
          </cell>
          <cell r="H791">
            <v>119.865168702242</v>
          </cell>
        </row>
        <row r="792">
          <cell r="A792">
            <v>44470</v>
          </cell>
          <cell r="B792" t="str">
            <v>Nadeem Rasheed</v>
          </cell>
          <cell r="E792" t="str">
            <v>FCR</v>
          </cell>
          <cell r="F792" t="str">
            <v>AM</v>
          </cell>
          <cell r="H792">
            <v>89.865168702242102</v>
          </cell>
        </row>
        <row r="793">
          <cell r="A793">
            <v>44470</v>
          </cell>
          <cell r="B793" t="str">
            <v>Othman Hassan</v>
          </cell>
          <cell r="E793" t="str">
            <v>FCR</v>
          </cell>
          <cell r="F793" t="str">
            <v>AM</v>
          </cell>
          <cell r="H793">
            <v>98.86516870224213</v>
          </cell>
        </row>
        <row r="794">
          <cell r="A794">
            <v>44470</v>
          </cell>
          <cell r="B794" t="str">
            <v>Ranjith Chandran</v>
          </cell>
          <cell r="E794" t="str">
            <v>FCR</v>
          </cell>
          <cell r="F794" t="str">
            <v>AM</v>
          </cell>
          <cell r="H794">
            <v>85</v>
          </cell>
        </row>
        <row r="795">
          <cell r="A795">
            <v>44470</v>
          </cell>
          <cell r="B795" t="str">
            <v>Richard Chandy</v>
          </cell>
          <cell r="E795" t="str">
            <v>FCR</v>
          </cell>
          <cell r="F795" t="str">
            <v>AM</v>
          </cell>
          <cell r="H795">
            <v>85</v>
          </cell>
        </row>
        <row r="796">
          <cell r="A796">
            <v>44470</v>
          </cell>
          <cell r="B796" t="str">
            <v>Rijith Menon</v>
          </cell>
          <cell r="E796" t="str">
            <v>FCR</v>
          </cell>
          <cell r="F796" t="str">
            <v>AM</v>
          </cell>
          <cell r="H796">
            <v>130</v>
          </cell>
        </row>
        <row r="797">
          <cell r="A797">
            <v>44470</v>
          </cell>
          <cell r="B797" t="str">
            <v>Roshan Kelat</v>
          </cell>
          <cell r="E797" t="str">
            <v>FCR</v>
          </cell>
          <cell r="F797" t="str">
            <v>AM</v>
          </cell>
          <cell r="H797">
            <v>60.8382285418771</v>
          </cell>
        </row>
        <row r="798">
          <cell r="A798">
            <v>44470</v>
          </cell>
          <cell r="B798" t="str">
            <v>Simon Williams</v>
          </cell>
          <cell r="E798" t="str">
            <v>FCR</v>
          </cell>
          <cell r="F798" t="str">
            <v>AM</v>
          </cell>
          <cell r="H798">
            <v>245.313958714953</v>
          </cell>
        </row>
        <row r="799">
          <cell r="A799">
            <v>44470</v>
          </cell>
          <cell r="B799" t="str">
            <v>Usman Zafar Sipra</v>
          </cell>
          <cell r="E799" t="str">
            <v>FCR</v>
          </cell>
          <cell r="F799" t="str">
            <v>AM</v>
          </cell>
          <cell r="H799">
            <v>85</v>
          </cell>
        </row>
        <row r="800">
          <cell r="A800">
            <v>44470</v>
          </cell>
          <cell r="B800" t="str">
            <v>Maitha Bin Malek</v>
          </cell>
          <cell r="E800" t="str">
            <v>HHTT</v>
          </cell>
          <cell r="F800" t="str">
            <v>D</v>
          </cell>
          <cell r="H800">
            <v>1138</v>
          </cell>
        </row>
        <row r="801">
          <cell r="A801">
            <v>44470</v>
          </cell>
          <cell r="B801" t="str">
            <v>Jithesh Vijayakumar</v>
          </cell>
          <cell r="E801" t="str">
            <v>HHTT</v>
          </cell>
          <cell r="F801" t="str">
            <v>AM</v>
          </cell>
          <cell r="H801">
            <v>85</v>
          </cell>
        </row>
        <row r="802">
          <cell r="A802">
            <v>44470</v>
          </cell>
          <cell r="B802" t="str">
            <v>Atef Kassem</v>
          </cell>
          <cell r="E802" t="str">
            <v>HHTT</v>
          </cell>
          <cell r="F802" t="str">
            <v>AM</v>
          </cell>
          <cell r="H802">
            <v>45</v>
          </cell>
        </row>
        <row r="803">
          <cell r="A803">
            <v>44470</v>
          </cell>
          <cell r="B803" t="str">
            <v>Bashar Al Adilee</v>
          </cell>
          <cell r="E803" t="str">
            <v>HHTT</v>
          </cell>
          <cell r="F803" t="str">
            <v>AM</v>
          </cell>
          <cell r="H803">
            <v>95</v>
          </cell>
        </row>
        <row r="804">
          <cell r="A804">
            <v>44470</v>
          </cell>
          <cell r="B804" t="str">
            <v>Favas Kurinhilayil</v>
          </cell>
          <cell r="E804" t="str">
            <v>HHTT</v>
          </cell>
          <cell r="F804" t="str">
            <v>AM</v>
          </cell>
          <cell r="H804">
            <v>80</v>
          </cell>
        </row>
        <row r="805">
          <cell r="A805">
            <v>44470</v>
          </cell>
          <cell r="B805" t="str">
            <v>Feroz Shaikh</v>
          </cell>
          <cell r="E805" t="str">
            <v>HHTT</v>
          </cell>
          <cell r="F805" t="str">
            <v>AM</v>
          </cell>
          <cell r="H805">
            <v>289</v>
          </cell>
        </row>
        <row r="806">
          <cell r="A806">
            <v>44470</v>
          </cell>
          <cell r="B806" t="str">
            <v>Hasa Alharthi</v>
          </cell>
          <cell r="E806" t="str">
            <v>HHTT</v>
          </cell>
          <cell r="F806" t="str">
            <v>AM</v>
          </cell>
          <cell r="H806">
            <v>45</v>
          </cell>
        </row>
        <row r="807">
          <cell r="A807">
            <v>44470</v>
          </cell>
          <cell r="B807" t="str">
            <v>Mohammad Gharaibeh</v>
          </cell>
          <cell r="E807" t="str">
            <v>HHTT</v>
          </cell>
          <cell r="F807" t="str">
            <v>AM</v>
          </cell>
          <cell r="H807">
            <v>270</v>
          </cell>
        </row>
        <row r="808">
          <cell r="A808">
            <v>44470</v>
          </cell>
          <cell r="B808" t="str">
            <v>Muhammad Nauman Khan</v>
          </cell>
          <cell r="E808" t="str">
            <v>HHTT</v>
          </cell>
          <cell r="F808" t="str">
            <v>AM</v>
          </cell>
          <cell r="H808">
            <v>75</v>
          </cell>
        </row>
        <row r="809">
          <cell r="A809">
            <v>44470</v>
          </cell>
          <cell r="B809" t="str">
            <v>Mushahid Hussain Syed</v>
          </cell>
          <cell r="E809" t="str">
            <v>HHTT</v>
          </cell>
          <cell r="F809" t="str">
            <v>AM</v>
          </cell>
          <cell r="H809">
            <v>49</v>
          </cell>
        </row>
        <row r="810">
          <cell r="A810">
            <v>44470</v>
          </cell>
          <cell r="B810" t="str">
            <v>Osama ElWawi</v>
          </cell>
          <cell r="E810" t="str">
            <v>HHTT</v>
          </cell>
          <cell r="F810" t="str">
            <v>AM</v>
          </cell>
          <cell r="H810">
            <v>100</v>
          </cell>
        </row>
        <row r="811">
          <cell r="A811">
            <v>44470</v>
          </cell>
          <cell r="B811" t="str">
            <v>Ramez Al Alami</v>
          </cell>
          <cell r="E811" t="str">
            <v>HHTT</v>
          </cell>
          <cell r="F811" t="str">
            <v>AM</v>
          </cell>
          <cell r="H811">
            <v>69</v>
          </cell>
        </row>
        <row r="812">
          <cell r="A812">
            <v>44470</v>
          </cell>
          <cell r="B812" t="str">
            <v>Ramy Abdel Fattah</v>
          </cell>
          <cell r="E812" t="str">
            <v>HHTT</v>
          </cell>
          <cell r="F812" t="str">
            <v>AM</v>
          </cell>
          <cell r="H812">
            <v>49</v>
          </cell>
        </row>
        <row r="813">
          <cell r="A813">
            <v>44470</v>
          </cell>
          <cell r="B813" t="str">
            <v>Imran Malik</v>
          </cell>
          <cell r="E813" t="str">
            <v>RCOGM</v>
          </cell>
          <cell r="F813" t="str">
            <v>D</v>
          </cell>
          <cell r="H813">
            <v>810</v>
          </cell>
        </row>
        <row r="814">
          <cell r="A814">
            <v>44470</v>
          </cell>
          <cell r="B814" t="str">
            <v>Ali Alzarooni</v>
          </cell>
          <cell r="E814" t="str">
            <v>RCOGM</v>
          </cell>
          <cell r="F814" t="str">
            <v>AM</v>
          </cell>
          <cell r="H814">
            <v>75</v>
          </cell>
        </row>
        <row r="815">
          <cell r="A815">
            <v>44470</v>
          </cell>
          <cell r="B815" t="str">
            <v>Ali Shahin</v>
          </cell>
          <cell r="E815" t="str">
            <v>RCOGM</v>
          </cell>
          <cell r="F815" t="str">
            <v>AM</v>
          </cell>
          <cell r="H815">
            <v>75</v>
          </cell>
        </row>
        <row r="816">
          <cell r="A816">
            <v>44470</v>
          </cell>
          <cell r="B816" t="str">
            <v>Mohamed Kishk</v>
          </cell>
          <cell r="E816" t="str">
            <v>RCOGM</v>
          </cell>
          <cell r="F816" t="str">
            <v>AM</v>
          </cell>
          <cell r="H816">
            <v>75</v>
          </cell>
        </row>
        <row r="817">
          <cell r="A817">
            <v>44470</v>
          </cell>
          <cell r="B817" t="str">
            <v>Mohd Sheikh Salem</v>
          </cell>
          <cell r="E817" t="str">
            <v>RCOGM</v>
          </cell>
          <cell r="F817" t="str">
            <v>AM</v>
          </cell>
          <cell r="H817">
            <v>75</v>
          </cell>
        </row>
        <row r="818">
          <cell r="A818">
            <v>44470</v>
          </cell>
          <cell r="B818" t="str">
            <v>Ayaz Zargar</v>
          </cell>
          <cell r="E818" t="str">
            <v>RCOGM</v>
          </cell>
          <cell r="F818" t="str">
            <v>AM</v>
          </cell>
          <cell r="H818">
            <v>75</v>
          </cell>
        </row>
        <row r="819">
          <cell r="A819">
            <v>44470</v>
          </cell>
          <cell r="B819" t="str">
            <v>Rima Al Safadi</v>
          </cell>
          <cell r="E819" t="str">
            <v>RCOGM</v>
          </cell>
          <cell r="F819" t="str">
            <v>AM</v>
          </cell>
          <cell r="H819">
            <v>75</v>
          </cell>
        </row>
        <row r="820">
          <cell r="A820">
            <v>44470</v>
          </cell>
          <cell r="B820" t="str">
            <v>Sana Shaikh</v>
          </cell>
          <cell r="E820" t="str">
            <v>RCOGM</v>
          </cell>
          <cell r="F820" t="str">
            <v>AM</v>
          </cell>
          <cell r="H820">
            <v>75</v>
          </cell>
        </row>
        <row r="821">
          <cell r="A821">
            <v>44470</v>
          </cell>
          <cell r="B821" t="str">
            <v>Shabbir Lacewala</v>
          </cell>
          <cell r="E821" t="str">
            <v>RCOGM</v>
          </cell>
          <cell r="F821" t="str">
            <v>AM</v>
          </cell>
          <cell r="H821">
            <v>55</v>
          </cell>
        </row>
        <row r="822">
          <cell r="A822">
            <v>44470</v>
          </cell>
          <cell r="B822" t="str">
            <v>Shadab Sheikh</v>
          </cell>
          <cell r="E822" t="str">
            <v>RCOGM</v>
          </cell>
          <cell r="F822" t="str">
            <v>AM</v>
          </cell>
          <cell r="H822">
            <v>75</v>
          </cell>
        </row>
        <row r="823">
          <cell r="A823">
            <v>44470</v>
          </cell>
          <cell r="B823" t="str">
            <v>Vandana Dubey</v>
          </cell>
          <cell r="E823" t="str">
            <v>RCOGM</v>
          </cell>
          <cell r="F823" t="str">
            <v>AM</v>
          </cell>
          <cell r="H823">
            <v>75</v>
          </cell>
        </row>
        <row r="824">
          <cell r="A824">
            <v>44470</v>
          </cell>
          <cell r="B824" t="str">
            <v>Vineeth Augustine</v>
          </cell>
          <cell r="E824" t="str">
            <v>RCOGM</v>
          </cell>
          <cell r="F824" t="str">
            <v>AM</v>
          </cell>
          <cell r="H824">
            <v>75</v>
          </cell>
        </row>
        <row r="825">
          <cell r="A825">
            <v>44470</v>
          </cell>
          <cell r="B825" t="str">
            <v>Waseem Choudhary</v>
          </cell>
          <cell r="E825" t="str">
            <v>RCOGM</v>
          </cell>
          <cell r="F825" t="str">
            <v>AM</v>
          </cell>
          <cell r="H825">
            <v>75</v>
          </cell>
        </row>
        <row r="826">
          <cell r="A826">
            <v>44470</v>
          </cell>
          <cell r="B826" t="str">
            <v>Hany Jawee</v>
          </cell>
          <cell r="E826" t="str">
            <v>TME</v>
          </cell>
          <cell r="F826" t="str">
            <v>D</v>
          </cell>
          <cell r="H826">
            <v>1300</v>
          </cell>
        </row>
        <row r="827">
          <cell r="A827">
            <v>44470</v>
          </cell>
          <cell r="B827" t="str">
            <v>Buhari Buhari</v>
          </cell>
          <cell r="E827" t="str">
            <v>TME</v>
          </cell>
          <cell r="F827" t="str">
            <v>AM</v>
          </cell>
          <cell r="H827">
            <v>70</v>
          </cell>
        </row>
        <row r="828">
          <cell r="A828">
            <v>44470</v>
          </cell>
          <cell r="B828" t="str">
            <v>Ahmad Ozdamir</v>
          </cell>
          <cell r="E828" t="str">
            <v>TME</v>
          </cell>
          <cell r="F828" t="str">
            <v>AM</v>
          </cell>
          <cell r="H828">
            <v>70</v>
          </cell>
        </row>
        <row r="829">
          <cell r="A829">
            <v>44470</v>
          </cell>
          <cell r="B829" t="str">
            <v>Ahmed AlShehhi</v>
          </cell>
          <cell r="E829" t="str">
            <v>TME</v>
          </cell>
          <cell r="F829" t="str">
            <v>AM</v>
          </cell>
          <cell r="H829">
            <v>60</v>
          </cell>
        </row>
        <row r="830">
          <cell r="A830">
            <v>44470</v>
          </cell>
          <cell r="B830" t="str">
            <v>Amjad Ilwan</v>
          </cell>
          <cell r="E830" t="str">
            <v>TME</v>
          </cell>
          <cell r="F830" t="str">
            <v>AM</v>
          </cell>
          <cell r="H830">
            <v>70</v>
          </cell>
        </row>
        <row r="831">
          <cell r="A831">
            <v>44470</v>
          </cell>
          <cell r="B831" t="str">
            <v>Anastasia Maltseva</v>
          </cell>
          <cell r="E831" t="str">
            <v>TME</v>
          </cell>
          <cell r="F831" t="str">
            <v>AM</v>
          </cell>
          <cell r="H831">
            <v>50</v>
          </cell>
        </row>
        <row r="832">
          <cell r="A832">
            <v>44470</v>
          </cell>
          <cell r="B832" t="str">
            <v>Ehab Hajou</v>
          </cell>
          <cell r="E832" t="str">
            <v>TME</v>
          </cell>
          <cell r="F832" t="str">
            <v>AM</v>
          </cell>
          <cell r="H832">
            <v>80</v>
          </cell>
        </row>
        <row r="833">
          <cell r="A833">
            <v>44470</v>
          </cell>
          <cell r="B833" t="str">
            <v>Fadi Saleh</v>
          </cell>
          <cell r="E833" t="str">
            <v>TME</v>
          </cell>
          <cell r="F833" t="str">
            <v>AM</v>
          </cell>
          <cell r="H833">
            <v>80</v>
          </cell>
        </row>
        <row r="834">
          <cell r="A834">
            <v>44470</v>
          </cell>
          <cell r="B834" t="str">
            <v>Farha Hameed</v>
          </cell>
          <cell r="E834" t="str">
            <v>TME</v>
          </cell>
          <cell r="F834" t="str">
            <v>AM</v>
          </cell>
          <cell r="H834">
            <v>150</v>
          </cell>
        </row>
        <row r="835">
          <cell r="A835">
            <v>44470</v>
          </cell>
          <cell r="B835" t="str">
            <v>Jeevantha Ranasinghe</v>
          </cell>
          <cell r="E835" t="str">
            <v>TME</v>
          </cell>
          <cell r="F835" t="str">
            <v>AM</v>
          </cell>
          <cell r="H835">
            <v>80</v>
          </cell>
        </row>
        <row r="836">
          <cell r="A836">
            <v>44470</v>
          </cell>
          <cell r="B836" t="str">
            <v>Khalid Mohammed</v>
          </cell>
          <cell r="E836" t="str">
            <v>TME</v>
          </cell>
          <cell r="F836" t="str">
            <v>AM</v>
          </cell>
          <cell r="H836">
            <v>325</v>
          </cell>
        </row>
        <row r="837">
          <cell r="A837">
            <v>44470</v>
          </cell>
          <cell r="B837" t="str">
            <v>Majid Abdulla</v>
          </cell>
          <cell r="E837" t="str">
            <v>TME</v>
          </cell>
          <cell r="F837" t="str">
            <v>AM</v>
          </cell>
          <cell r="H837">
            <v>70</v>
          </cell>
        </row>
        <row r="838">
          <cell r="A838">
            <v>44470</v>
          </cell>
          <cell r="B838" t="str">
            <v>Waseem Suhaf</v>
          </cell>
          <cell r="E838" t="str">
            <v>TME</v>
          </cell>
          <cell r="F838" t="str">
            <v>AM</v>
          </cell>
          <cell r="H838">
            <v>115</v>
          </cell>
        </row>
        <row r="839">
          <cell r="A839">
            <v>44470</v>
          </cell>
          <cell r="B839" t="str">
            <v>Suleiman Wanni</v>
          </cell>
          <cell r="E839" t="str">
            <v>TME</v>
          </cell>
          <cell r="F839" t="str">
            <v>AM</v>
          </cell>
          <cell r="H839">
            <v>80</v>
          </cell>
        </row>
        <row r="840">
          <cell r="A840">
            <v>44470</v>
          </cell>
          <cell r="B840" t="str">
            <v>Hamzah Nofal</v>
          </cell>
          <cell r="E840" t="str">
            <v>HUNT</v>
          </cell>
          <cell r="F840" t="str">
            <v>D</v>
          </cell>
          <cell r="H840">
            <v>1752</v>
          </cell>
        </row>
        <row r="841">
          <cell r="A841">
            <v>44470</v>
          </cell>
          <cell r="B841" t="str">
            <v>Adnan Bashir</v>
          </cell>
          <cell r="E841" t="str">
            <v>HUNT</v>
          </cell>
          <cell r="F841" t="str">
            <v>AM</v>
          </cell>
          <cell r="H841">
            <v>100</v>
          </cell>
        </row>
        <row r="842">
          <cell r="A842">
            <v>44470</v>
          </cell>
          <cell r="B842" t="str">
            <v>Ammar Aladily</v>
          </cell>
          <cell r="E842" t="str">
            <v>HUNT</v>
          </cell>
          <cell r="F842" t="str">
            <v>AM</v>
          </cell>
          <cell r="H842">
            <v>550</v>
          </cell>
        </row>
        <row r="843">
          <cell r="A843">
            <v>44470</v>
          </cell>
          <cell r="B843" t="str">
            <v>Mushtaq Ahamad</v>
          </cell>
          <cell r="E843" t="str">
            <v>HUNT</v>
          </cell>
          <cell r="F843" t="str">
            <v>AM</v>
          </cell>
          <cell r="H843">
            <v>200</v>
          </cell>
        </row>
        <row r="844">
          <cell r="A844">
            <v>44470</v>
          </cell>
          <cell r="B844" t="str">
            <v>Iqbal Hussain</v>
          </cell>
          <cell r="E844" t="str">
            <v>HUNT</v>
          </cell>
          <cell r="F844" t="str">
            <v>AM</v>
          </cell>
          <cell r="H844">
            <v>550</v>
          </cell>
        </row>
        <row r="845">
          <cell r="A845">
            <v>44470</v>
          </cell>
          <cell r="B845" t="str">
            <v>Khaleel Farooki</v>
          </cell>
          <cell r="E845" t="str">
            <v>HUNT</v>
          </cell>
          <cell r="F845" t="str">
            <v>AM</v>
          </cell>
          <cell r="H845">
            <v>100</v>
          </cell>
        </row>
        <row r="846">
          <cell r="A846">
            <v>44470</v>
          </cell>
          <cell r="B846" t="str">
            <v>Muhammad Ismail</v>
          </cell>
          <cell r="E846" t="str">
            <v>HUNT</v>
          </cell>
          <cell r="F846" t="str">
            <v>AM</v>
          </cell>
          <cell r="H846">
            <v>100</v>
          </cell>
        </row>
        <row r="847">
          <cell r="A847">
            <v>44470</v>
          </cell>
          <cell r="B847" t="str">
            <v>Nasir Khan</v>
          </cell>
          <cell r="E847" t="str">
            <v>HUNT</v>
          </cell>
          <cell r="F847" t="str">
            <v>AM</v>
          </cell>
          <cell r="H847">
            <v>10</v>
          </cell>
        </row>
        <row r="848">
          <cell r="A848">
            <v>44470</v>
          </cell>
          <cell r="B848" t="str">
            <v>Wasim Raja</v>
          </cell>
          <cell r="E848" t="str">
            <v>HUNT</v>
          </cell>
          <cell r="F848" t="str">
            <v>AM</v>
          </cell>
          <cell r="H848">
            <v>100</v>
          </cell>
        </row>
        <row r="849">
          <cell r="A849">
            <v>44470</v>
          </cell>
          <cell r="B849" t="str">
            <v>Shiraz Niazi</v>
          </cell>
          <cell r="E849" t="str">
            <v>HUNT</v>
          </cell>
          <cell r="F849" t="str">
            <v>AM</v>
          </cell>
          <cell r="H849">
            <v>100</v>
          </cell>
        </row>
        <row r="850">
          <cell r="A850">
            <v>44501</v>
          </cell>
          <cell r="B850" t="str">
            <v>Mohamad Amer Sibai</v>
          </cell>
          <cell r="E850" t="str">
            <v>DXB</v>
          </cell>
          <cell r="F850" t="str">
            <v>D</v>
          </cell>
          <cell r="H850">
            <v>1400</v>
          </cell>
          <cell r="I850">
            <v>60000</v>
          </cell>
        </row>
        <row r="851">
          <cell r="A851">
            <v>44501</v>
          </cell>
          <cell r="B851" t="str">
            <v>Mohamed Mady</v>
          </cell>
          <cell r="E851" t="str">
            <v>DXB</v>
          </cell>
          <cell r="F851" t="str">
            <v>AM</v>
          </cell>
          <cell r="H851">
            <v>200</v>
          </cell>
          <cell r="I851">
            <v>7000</v>
          </cell>
        </row>
        <row r="852">
          <cell r="A852">
            <v>44501</v>
          </cell>
          <cell r="B852" t="str">
            <v>Ramzi Gholmieh</v>
          </cell>
          <cell r="E852" t="str">
            <v>DXB</v>
          </cell>
          <cell r="F852" t="str">
            <v>AM</v>
          </cell>
          <cell r="H852">
            <v>400</v>
          </cell>
          <cell r="I852">
            <v>19000</v>
          </cell>
        </row>
        <row r="853">
          <cell r="A853">
            <v>44501</v>
          </cell>
          <cell r="B853" t="str">
            <v>Saleh Barami</v>
          </cell>
          <cell r="E853" t="str">
            <v>DXB</v>
          </cell>
          <cell r="F853" t="str">
            <v>AM</v>
          </cell>
          <cell r="H853">
            <v>400</v>
          </cell>
          <cell r="I853">
            <v>15000</v>
          </cell>
        </row>
        <row r="854">
          <cell r="A854">
            <v>44501</v>
          </cell>
          <cell r="B854" t="str">
            <v>Talal Ahmed Ali Alsharhan</v>
          </cell>
          <cell r="E854" t="str">
            <v>DXB</v>
          </cell>
          <cell r="F854" t="str">
            <v>AM</v>
          </cell>
          <cell r="H854">
            <v>400</v>
          </cell>
          <cell r="I854">
            <v>19000</v>
          </cell>
        </row>
        <row r="855">
          <cell r="A855">
            <v>44501</v>
          </cell>
          <cell r="B855" t="str">
            <v>Khaled Alawadi</v>
          </cell>
          <cell r="E855" t="str">
            <v>F-NE</v>
          </cell>
          <cell r="F855" t="str">
            <v>D</v>
          </cell>
          <cell r="H855">
            <v>3500</v>
          </cell>
          <cell r="I855">
            <v>130000</v>
          </cell>
        </row>
        <row r="856">
          <cell r="A856">
            <v>44501</v>
          </cell>
          <cell r="B856" t="str">
            <v>Bader Al Shehhi</v>
          </cell>
          <cell r="E856" t="str">
            <v>F-NE</v>
          </cell>
          <cell r="F856" t="str">
            <v>AM</v>
          </cell>
          <cell r="H856">
            <v>360</v>
          </cell>
          <cell r="I856">
            <v>1500</v>
          </cell>
        </row>
        <row r="857">
          <cell r="A857">
            <v>44501</v>
          </cell>
          <cell r="B857" t="str">
            <v>Majd Nairoukh</v>
          </cell>
          <cell r="E857" t="str">
            <v>F-NE</v>
          </cell>
          <cell r="F857" t="str">
            <v>AM</v>
          </cell>
          <cell r="H857">
            <v>2000</v>
          </cell>
          <cell r="I857">
            <v>122500</v>
          </cell>
        </row>
        <row r="858">
          <cell r="A858">
            <v>44501</v>
          </cell>
          <cell r="B858" t="str">
            <v>Nader AlMustafa</v>
          </cell>
          <cell r="E858" t="str">
            <v>F-NE</v>
          </cell>
          <cell r="F858" t="str">
            <v>AM</v>
          </cell>
          <cell r="H858">
            <v>100</v>
          </cell>
          <cell r="I858">
            <v>2000</v>
          </cell>
        </row>
        <row r="859">
          <cell r="A859">
            <v>44501</v>
          </cell>
          <cell r="B859" t="str">
            <v>Tariq AlAwadhi</v>
          </cell>
          <cell r="E859" t="str">
            <v>F-NE</v>
          </cell>
          <cell r="F859" t="str">
            <v>AM</v>
          </cell>
          <cell r="H859">
            <v>40</v>
          </cell>
          <cell r="I859">
            <v>1500</v>
          </cell>
        </row>
        <row r="860">
          <cell r="A860">
            <v>44501</v>
          </cell>
          <cell r="B860" t="str">
            <v>Yousef Al Baloushi</v>
          </cell>
          <cell r="E860" t="str">
            <v>F-NE</v>
          </cell>
          <cell r="F860" t="str">
            <v>AM</v>
          </cell>
          <cell r="H860">
            <v>1000</v>
          </cell>
          <cell r="I860">
            <v>2500</v>
          </cell>
        </row>
        <row r="861">
          <cell r="A861">
            <v>44501</v>
          </cell>
          <cell r="B861" t="str">
            <v>Khalid Karmastaji</v>
          </cell>
          <cell r="E861" t="str">
            <v>KA-AUH</v>
          </cell>
          <cell r="F861" t="str">
            <v>D</v>
          </cell>
          <cell r="H861">
            <v>1500</v>
          </cell>
          <cell r="I861">
            <v>60000</v>
          </cell>
        </row>
        <row r="862">
          <cell r="A862">
            <v>44501</v>
          </cell>
          <cell r="B862" t="str">
            <v>Ammar Alqudsi</v>
          </cell>
          <cell r="E862" t="str">
            <v>KA-AUH</v>
          </cell>
          <cell r="F862" t="str">
            <v>AM</v>
          </cell>
          <cell r="H862">
            <v>300</v>
          </cell>
          <cell r="I862">
            <v>12500</v>
          </cell>
        </row>
        <row r="863">
          <cell r="A863">
            <v>44501</v>
          </cell>
          <cell r="B863" t="str">
            <v>Osman Basuleman</v>
          </cell>
          <cell r="E863" t="str">
            <v>KA-AUH</v>
          </cell>
          <cell r="F863" t="str">
            <v>AM</v>
          </cell>
          <cell r="H863">
            <v>300</v>
          </cell>
          <cell r="I863">
            <v>12500</v>
          </cell>
        </row>
        <row r="864">
          <cell r="A864">
            <v>44501</v>
          </cell>
          <cell r="B864" t="str">
            <v>Tarek Solh</v>
          </cell>
          <cell r="E864" t="str">
            <v>KA-AUH</v>
          </cell>
          <cell r="F864" t="str">
            <v>AM</v>
          </cell>
          <cell r="H864">
            <v>300</v>
          </cell>
          <cell r="I864">
            <v>15000</v>
          </cell>
        </row>
        <row r="865">
          <cell r="A865">
            <v>44501</v>
          </cell>
          <cell r="B865" t="str">
            <v>Abdulrahman Alaryani</v>
          </cell>
          <cell r="E865" t="str">
            <v>KA-AUH</v>
          </cell>
          <cell r="F865" t="str">
            <v>AM</v>
          </cell>
          <cell r="H865">
            <v>150</v>
          </cell>
          <cell r="I865">
            <v>5000</v>
          </cell>
        </row>
        <row r="866">
          <cell r="A866">
            <v>44501</v>
          </cell>
          <cell r="B866" t="str">
            <v>Khamis Almakrani</v>
          </cell>
          <cell r="E866" t="str">
            <v>KA-AUH</v>
          </cell>
          <cell r="F866" t="str">
            <v>AM</v>
          </cell>
          <cell r="H866">
            <v>150</v>
          </cell>
          <cell r="I866">
            <v>5000</v>
          </cell>
        </row>
        <row r="867">
          <cell r="A867">
            <v>44501</v>
          </cell>
          <cell r="B867" t="str">
            <v>Ahmed Almansoori</v>
          </cell>
          <cell r="E867" t="str">
            <v>KA-AUH</v>
          </cell>
          <cell r="F867" t="str">
            <v>AM</v>
          </cell>
          <cell r="H867">
            <v>150</v>
          </cell>
          <cell r="I867">
            <v>5000</v>
          </cell>
        </row>
        <row r="868">
          <cell r="A868">
            <v>44501</v>
          </cell>
          <cell r="B868" t="str">
            <v>Khaled Alshamsi</v>
          </cell>
          <cell r="E868" t="str">
            <v>KA-AUH</v>
          </cell>
          <cell r="F868" t="str">
            <v>AM</v>
          </cell>
          <cell r="H868">
            <v>150</v>
          </cell>
          <cell r="I868">
            <v>5000</v>
          </cell>
        </row>
        <row r="869">
          <cell r="A869">
            <v>44501</v>
          </cell>
          <cell r="B869" t="str">
            <v>Mazen Adem</v>
          </cell>
          <cell r="E869" t="str">
            <v>KA</v>
          </cell>
          <cell r="F869" t="str">
            <v>D</v>
          </cell>
          <cell r="H869">
            <v>600</v>
          </cell>
          <cell r="I869">
            <v>50000</v>
          </cell>
        </row>
        <row r="870">
          <cell r="A870">
            <v>44501</v>
          </cell>
          <cell r="B870" t="str">
            <v>Abdel Azim Sharabati</v>
          </cell>
          <cell r="E870" t="str">
            <v>KA</v>
          </cell>
          <cell r="F870" t="str">
            <v>AM</v>
          </cell>
          <cell r="H870">
            <v>120</v>
          </cell>
          <cell r="I870">
            <v>7000</v>
          </cell>
        </row>
        <row r="871">
          <cell r="A871">
            <v>44501</v>
          </cell>
          <cell r="B871" t="str">
            <v>Abraham Cherian</v>
          </cell>
          <cell r="E871" t="str">
            <v>KA</v>
          </cell>
          <cell r="F871" t="str">
            <v>AM</v>
          </cell>
          <cell r="H871">
            <v>80</v>
          </cell>
          <cell r="I871">
            <v>11000</v>
          </cell>
        </row>
        <row r="872">
          <cell r="A872">
            <v>44501</v>
          </cell>
          <cell r="B872" t="str">
            <v>Arjun Subaraman</v>
          </cell>
          <cell r="E872" t="str">
            <v>KA</v>
          </cell>
          <cell r="F872" t="str">
            <v>AM</v>
          </cell>
          <cell r="H872">
            <v>90</v>
          </cell>
          <cell r="I872">
            <v>11000</v>
          </cell>
        </row>
        <row r="873">
          <cell r="A873">
            <v>44501</v>
          </cell>
          <cell r="B873" t="str">
            <v>Ghassan Fouany</v>
          </cell>
          <cell r="E873" t="str">
            <v>KA</v>
          </cell>
          <cell r="F873" t="str">
            <v>AM</v>
          </cell>
          <cell r="H873">
            <v>85</v>
          </cell>
          <cell r="I873">
            <v>11000</v>
          </cell>
        </row>
        <row r="874">
          <cell r="A874">
            <v>44501</v>
          </cell>
          <cell r="B874" t="str">
            <v>Inayat Fazili</v>
          </cell>
          <cell r="E874" t="str">
            <v>KA</v>
          </cell>
          <cell r="F874" t="str">
            <v>AM</v>
          </cell>
          <cell r="H874">
            <v>130</v>
          </cell>
          <cell r="I874">
            <v>6000</v>
          </cell>
        </row>
        <row r="875">
          <cell r="A875">
            <v>44501</v>
          </cell>
          <cell r="B875" t="str">
            <v>Khawla Almansoori</v>
          </cell>
          <cell r="E875" t="str">
            <v>KA</v>
          </cell>
          <cell r="F875" t="str">
            <v>AM</v>
          </cell>
          <cell r="H875">
            <v>95</v>
          </cell>
          <cell r="I875">
            <v>4000</v>
          </cell>
        </row>
        <row r="876">
          <cell r="A876">
            <v>44501</v>
          </cell>
          <cell r="B876" t="str">
            <v>Mustafa Shalabi</v>
          </cell>
          <cell r="E876" t="str">
            <v>FCR</v>
          </cell>
          <cell r="F876" t="str">
            <v>D</v>
          </cell>
          <cell r="H876">
            <v>1500</v>
          </cell>
        </row>
        <row r="877">
          <cell r="A877">
            <v>44501</v>
          </cell>
          <cell r="B877" t="str">
            <v>Eslam Hassan</v>
          </cell>
          <cell r="E877" t="str">
            <v>FCR</v>
          </cell>
          <cell r="F877" t="str">
            <v>AM</v>
          </cell>
          <cell r="H877">
            <v>90</v>
          </cell>
        </row>
        <row r="878">
          <cell r="A878">
            <v>44501</v>
          </cell>
          <cell r="B878" t="str">
            <v>Mahmood Murad</v>
          </cell>
          <cell r="E878" t="str">
            <v>FCR</v>
          </cell>
          <cell r="F878" t="str">
            <v>AM</v>
          </cell>
          <cell r="H878">
            <v>110</v>
          </cell>
        </row>
        <row r="879">
          <cell r="A879">
            <v>44501</v>
          </cell>
          <cell r="B879" t="str">
            <v>Mansi Trivedi</v>
          </cell>
          <cell r="E879" t="str">
            <v>FCR</v>
          </cell>
          <cell r="F879" t="str">
            <v>AM</v>
          </cell>
          <cell r="H879">
            <v>100</v>
          </cell>
        </row>
        <row r="880">
          <cell r="A880">
            <v>44501</v>
          </cell>
          <cell r="B880" t="str">
            <v>Mohamad Labban</v>
          </cell>
          <cell r="E880" t="str">
            <v>FCR</v>
          </cell>
          <cell r="F880" t="str">
            <v>AM</v>
          </cell>
          <cell r="H880">
            <v>130</v>
          </cell>
        </row>
        <row r="881">
          <cell r="A881">
            <v>44501</v>
          </cell>
          <cell r="B881" t="str">
            <v>Mohamed Mostafa</v>
          </cell>
          <cell r="E881" t="str">
            <v>FCR</v>
          </cell>
          <cell r="F881" t="str">
            <v>AM</v>
          </cell>
          <cell r="H881">
            <v>100</v>
          </cell>
        </row>
        <row r="882">
          <cell r="A882">
            <v>44501</v>
          </cell>
          <cell r="B882" t="str">
            <v>Nadeem Rasheed</v>
          </cell>
          <cell r="E882" t="str">
            <v>FCR</v>
          </cell>
          <cell r="F882" t="str">
            <v>AM</v>
          </cell>
          <cell r="H882">
            <v>130</v>
          </cell>
        </row>
        <row r="883">
          <cell r="A883">
            <v>44501</v>
          </cell>
          <cell r="B883" t="str">
            <v>Othman Hassan</v>
          </cell>
          <cell r="E883" t="str">
            <v>FCR</v>
          </cell>
          <cell r="F883" t="str">
            <v>AM</v>
          </cell>
          <cell r="H883">
            <v>115</v>
          </cell>
        </row>
        <row r="884">
          <cell r="A884">
            <v>44501</v>
          </cell>
          <cell r="B884" t="str">
            <v>Ranjith Chandran</v>
          </cell>
          <cell r="E884" t="str">
            <v>FCR</v>
          </cell>
          <cell r="F884" t="str">
            <v>AM</v>
          </cell>
          <cell r="H884">
            <v>90</v>
          </cell>
        </row>
        <row r="885">
          <cell r="A885">
            <v>44501</v>
          </cell>
          <cell r="B885" t="str">
            <v>Richard Chandy</v>
          </cell>
          <cell r="E885" t="str">
            <v>FCR</v>
          </cell>
          <cell r="F885" t="str">
            <v>AM</v>
          </cell>
          <cell r="H885">
            <v>90</v>
          </cell>
        </row>
        <row r="886">
          <cell r="A886">
            <v>44501</v>
          </cell>
          <cell r="B886" t="str">
            <v>Rijith Menon</v>
          </cell>
          <cell r="E886" t="str">
            <v>FCR</v>
          </cell>
          <cell r="F886" t="str">
            <v>AM</v>
          </cell>
          <cell r="H886">
            <v>150</v>
          </cell>
        </row>
        <row r="887">
          <cell r="A887">
            <v>44501</v>
          </cell>
          <cell r="B887" t="str">
            <v>Roshan Kelat</v>
          </cell>
          <cell r="E887" t="str">
            <v>FCR</v>
          </cell>
          <cell r="F887" t="str">
            <v>AM</v>
          </cell>
          <cell r="H887">
            <v>75</v>
          </cell>
        </row>
        <row r="888">
          <cell r="A888">
            <v>44501</v>
          </cell>
          <cell r="B888" t="str">
            <v>Simon Williams</v>
          </cell>
          <cell r="E888" t="str">
            <v>FCR</v>
          </cell>
          <cell r="F888" t="str">
            <v>AM</v>
          </cell>
          <cell r="H888">
            <v>230</v>
          </cell>
        </row>
        <row r="889">
          <cell r="A889">
            <v>44501</v>
          </cell>
          <cell r="B889" t="str">
            <v>Usman Zafar Sipra</v>
          </cell>
          <cell r="E889" t="str">
            <v>FCR</v>
          </cell>
          <cell r="F889" t="str">
            <v>AM</v>
          </cell>
          <cell r="H889">
            <v>90</v>
          </cell>
        </row>
        <row r="890">
          <cell r="A890">
            <v>44501</v>
          </cell>
          <cell r="B890" t="str">
            <v>Maitha Bin Malek</v>
          </cell>
          <cell r="E890" t="str">
            <v>HHTT</v>
          </cell>
          <cell r="F890" t="str">
            <v>D</v>
          </cell>
          <cell r="H890">
            <v>1038</v>
          </cell>
        </row>
        <row r="891">
          <cell r="A891">
            <v>44501</v>
          </cell>
          <cell r="B891" t="str">
            <v>Jithesh Vijayakumar</v>
          </cell>
          <cell r="E891" t="str">
            <v>HHTT</v>
          </cell>
          <cell r="F891" t="str">
            <v>AM</v>
          </cell>
          <cell r="H891">
            <v>69</v>
          </cell>
        </row>
        <row r="892">
          <cell r="A892">
            <v>44501</v>
          </cell>
          <cell r="B892" t="str">
            <v>Atef Kassem</v>
          </cell>
          <cell r="E892" t="str">
            <v>HHTT</v>
          </cell>
          <cell r="F892" t="str">
            <v>AM</v>
          </cell>
          <cell r="H892">
            <v>65</v>
          </cell>
        </row>
        <row r="893">
          <cell r="A893">
            <v>44501</v>
          </cell>
          <cell r="B893" t="str">
            <v>Bashar Al Adilee</v>
          </cell>
          <cell r="E893" t="str">
            <v>HHTT</v>
          </cell>
          <cell r="F893" t="str">
            <v>AM</v>
          </cell>
          <cell r="H893">
            <v>89</v>
          </cell>
        </row>
        <row r="894">
          <cell r="A894">
            <v>44501</v>
          </cell>
          <cell r="B894" t="str">
            <v>Favas Kurinhilayil</v>
          </cell>
          <cell r="E894" t="str">
            <v>HHTT</v>
          </cell>
          <cell r="F894" t="str">
            <v>AM</v>
          </cell>
          <cell r="H894">
            <v>115</v>
          </cell>
        </row>
        <row r="895">
          <cell r="A895">
            <v>44501</v>
          </cell>
          <cell r="B895" t="str">
            <v>Feroz Shaikh</v>
          </cell>
          <cell r="E895" t="str">
            <v>HHTT</v>
          </cell>
          <cell r="F895" t="str">
            <v>AM</v>
          </cell>
          <cell r="H895">
            <v>89</v>
          </cell>
        </row>
        <row r="896">
          <cell r="A896">
            <v>44501</v>
          </cell>
          <cell r="B896" t="str">
            <v>Hasa Alharthi</v>
          </cell>
          <cell r="E896" t="str">
            <v>HHTT</v>
          </cell>
          <cell r="F896" t="str">
            <v>AM</v>
          </cell>
          <cell r="H896">
            <v>65</v>
          </cell>
        </row>
        <row r="897">
          <cell r="A897">
            <v>44501</v>
          </cell>
          <cell r="B897" t="str">
            <v>Mohammad Gharaibeh</v>
          </cell>
          <cell r="E897" t="str">
            <v>HHTT</v>
          </cell>
          <cell r="F897" t="str">
            <v>AM</v>
          </cell>
          <cell r="H897">
            <v>173</v>
          </cell>
        </row>
        <row r="898">
          <cell r="A898">
            <v>44501</v>
          </cell>
          <cell r="B898" t="str">
            <v>Muhammad Nauman Khan</v>
          </cell>
          <cell r="E898" t="str">
            <v>HHTT</v>
          </cell>
          <cell r="F898" t="str">
            <v>AM</v>
          </cell>
          <cell r="H898">
            <v>89</v>
          </cell>
        </row>
        <row r="899">
          <cell r="A899">
            <v>44501</v>
          </cell>
          <cell r="B899" t="str">
            <v>Mushahid Hussain Syed</v>
          </cell>
          <cell r="E899" t="str">
            <v>HHTT</v>
          </cell>
          <cell r="F899" t="str">
            <v>AM</v>
          </cell>
          <cell r="H899">
            <v>89</v>
          </cell>
        </row>
        <row r="900">
          <cell r="A900">
            <v>44501</v>
          </cell>
          <cell r="B900" t="str">
            <v>Osama ElWawi</v>
          </cell>
          <cell r="E900" t="str">
            <v>HHTT</v>
          </cell>
          <cell r="F900" t="str">
            <v>AM</v>
          </cell>
          <cell r="H900">
            <v>89</v>
          </cell>
        </row>
        <row r="901">
          <cell r="A901">
            <v>44501</v>
          </cell>
          <cell r="B901" t="str">
            <v>Ramez Al Alami</v>
          </cell>
          <cell r="E901" t="str">
            <v>HHTT</v>
          </cell>
          <cell r="F901" t="str">
            <v>AM</v>
          </cell>
          <cell r="H901">
            <v>89</v>
          </cell>
        </row>
        <row r="902">
          <cell r="A902">
            <v>44501</v>
          </cell>
          <cell r="B902" t="str">
            <v>Ramy Abdel Fattah</v>
          </cell>
          <cell r="E902" t="str">
            <v>HHTT</v>
          </cell>
          <cell r="F902" t="str">
            <v>AM</v>
          </cell>
          <cell r="H902">
            <v>69</v>
          </cell>
        </row>
        <row r="903">
          <cell r="A903">
            <v>44501</v>
          </cell>
          <cell r="B903" t="str">
            <v>Imran Malik</v>
          </cell>
          <cell r="E903" t="str">
            <v>RCOGM</v>
          </cell>
          <cell r="F903" t="str">
            <v>D</v>
          </cell>
          <cell r="H903">
            <v>910</v>
          </cell>
        </row>
        <row r="904">
          <cell r="A904">
            <v>44501</v>
          </cell>
          <cell r="B904" t="str">
            <v>Ali Alzarooni</v>
          </cell>
          <cell r="E904" t="str">
            <v>RCOGM</v>
          </cell>
          <cell r="F904" t="str">
            <v>AM</v>
          </cell>
          <cell r="H904">
            <v>210</v>
          </cell>
        </row>
        <row r="905">
          <cell r="A905">
            <v>44501</v>
          </cell>
          <cell r="B905" t="str">
            <v>Ali Shahin</v>
          </cell>
          <cell r="E905" t="str">
            <v>RCOGM</v>
          </cell>
          <cell r="F905" t="str">
            <v>AM</v>
          </cell>
          <cell r="H905">
            <v>65</v>
          </cell>
        </row>
        <row r="906">
          <cell r="A906">
            <v>44501</v>
          </cell>
          <cell r="B906" t="str">
            <v>Mohamed Kishk</v>
          </cell>
          <cell r="E906" t="str">
            <v>RCOGM</v>
          </cell>
          <cell r="F906" t="str">
            <v>AM</v>
          </cell>
          <cell r="H906">
            <v>65</v>
          </cell>
        </row>
        <row r="907">
          <cell r="A907">
            <v>44501</v>
          </cell>
          <cell r="B907" t="str">
            <v>Mohd Sheikh Salem</v>
          </cell>
          <cell r="E907" t="str">
            <v>RCOGM</v>
          </cell>
          <cell r="F907" t="str">
            <v>AM</v>
          </cell>
          <cell r="H907">
            <v>65</v>
          </cell>
        </row>
        <row r="908">
          <cell r="A908">
            <v>44501</v>
          </cell>
          <cell r="B908" t="str">
            <v>Ayaz Zargar</v>
          </cell>
          <cell r="E908" t="str">
            <v>RCOGM</v>
          </cell>
          <cell r="F908" t="str">
            <v>AM</v>
          </cell>
          <cell r="H908">
            <v>65</v>
          </cell>
        </row>
        <row r="909">
          <cell r="A909">
            <v>44501</v>
          </cell>
          <cell r="B909" t="str">
            <v>Rima Al Safadi</v>
          </cell>
          <cell r="E909" t="str">
            <v>RCOGM</v>
          </cell>
          <cell r="F909" t="str">
            <v>AM</v>
          </cell>
          <cell r="H909">
            <v>65</v>
          </cell>
        </row>
        <row r="910">
          <cell r="A910">
            <v>44501</v>
          </cell>
          <cell r="B910" t="str">
            <v>Sana Shaikh</v>
          </cell>
          <cell r="E910" t="str">
            <v>RCOGM</v>
          </cell>
          <cell r="F910" t="str">
            <v>AM</v>
          </cell>
          <cell r="H910">
            <v>65</v>
          </cell>
        </row>
        <row r="911">
          <cell r="A911">
            <v>44501</v>
          </cell>
          <cell r="B911" t="str">
            <v>Shabbir Lacewala</v>
          </cell>
          <cell r="E911" t="str">
            <v>RCOGM</v>
          </cell>
          <cell r="F911" t="str">
            <v>AM</v>
          </cell>
          <cell r="H911">
            <v>65</v>
          </cell>
        </row>
        <row r="912">
          <cell r="A912">
            <v>44501</v>
          </cell>
          <cell r="B912" t="str">
            <v>Shadab Sheikh</v>
          </cell>
          <cell r="E912" t="str">
            <v>RCOGM</v>
          </cell>
          <cell r="F912" t="str">
            <v>AM</v>
          </cell>
          <cell r="H912">
            <v>50</v>
          </cell>
        </row>
        <row r="913">
          <cell r="A913">
            <v>44501</v>
          </cell>
          <cell r="B913" t="str">
            <v>Vandana Dubey</v>
          </cell>
          <cell r="E913" t="str">
            <v>RCOGM</v>
          </cell>
          <cell r="F913" t="str">
            <v>AM</v>
          </cell>
          <cell r="H913">
            <v>65</v>
          </cell>
        </row>
        <row r="914">
          <cell r="A914">
            <v>44501</v>
          </cell>
          <cell r="B914" t="str">
            <v>Vineeth Augustine</v>
          </cell>
          <cell r="E914" t="str">
            <v>RCOGM</v>
          </cell>
          <cell r="F914" t="str">
            <v>AM</v>
          </cell>
          <cell r="H914">
            <v>65</v>
          </cell>
        </row>
        <row r="915">
          <cell r="A915">
            <v>44501</v>
          </cell>
          <cell r="B915" t="str">
            <v>Waseem Choudhary</v>
          </cell>
          <cell r="E915" t="str">
            <v>RCOGM</v>
          </cell>
          <cell r="F915" t="str">
            <v>AM</v>
          </cell>
          <cell r="H915">
            <v>65</v>
          </cell>
        </row>
        <row r="916">
          <cell r="A916">
            <v>44501</v>
          </cell>
          <cell r="B916" t="str">
            <v>Hany Jawee</v>
          </cell>
          <cell r="E916" t="str">
            <v>TME</v>
          </cell>
          <cell r="F916" t="str">
            <v>D</v>
          </cell>
          <cell r="H916">
            <v>1200</v>
          </cell>
        </row>
        <row r="917">
          <cell r="A917">
            <v>44501</v>
          </cell>
          <cell r="B917" t="str">
            <v>Buhari Buhari</v>
          </cell>
          <cell r="E917" t="str">
            <v>TME</v>
          </cell>
          <cell r="F917" t="str">
            <v>AM</v>
          </cell>
          <cell r="H917">
            <v>50</v>
          </cell>
        </row>
        <row r="918">
          <cell r="A918">
            <v>44501</v>
          </cell>
          <cell r="B918" t="str">
            <v>Ahmad Ozdamir</v>
          </cell>
          <cell r="E918" t="str">
            <v>TME</v>
          </cell>
          <cell r="F918" t="str">
            <v>AM</v>
          </cell>
          <cell r="H918">
            <v>59.783088224462503</v>
          </cell>
        </row>
        <row r="919">
          <cell r="A919">
            <v>44501</v>
          </cell>
          <cell r="B919" t="str">
            <v>Ahmed AlShehhi</v>
          </cell>
          <cell r="E919" t="str">
            <v>TME</v>
          </cell>
          <cell r="F919" t="str">
            <v>AM</v>
          </cell>
          <cell r="H919">
            <v>50</v>
          </cell>
        </row>
        <row r="920">
          <cell r="A920">
            <v>44501</v>
          </cell>
          <cell r="B920" t="str">
            <v>Amjad Ilwan</v>
          </cell>
          <cell r="E920" t="str">
            <v>TME</v>
          </cell>
          <cell r="F920" t="str">
            <v>AM</v>
          </cell>
          <cell r="H920">
            <v>59.783088224462503</v>
          </cell>
        </row>
        <row r="921">
          <cell r="A921">
            <v>44501</v>
          </cell>
          <cell r="B921" t="str">
            <v>Anastasia Maltseva</v>
          </cell>
          <cell r="E921" t="str">
            <v>TME</v>
          </cell>
          <cell r="F921" t="str">
            <v>AM</v>
          </cell>
          <cell r="H921">
            <v>50</v>
          </cell>
        </row>
        <row r="922">
          <cell r="A922">
            <v>44501</v>
          </cell>
          <cell r="B922" t="str">
            <v>Ehab Hajou</v>
          </cell>
          <cell r="E922" t="str">
            <v>TME</v>
          </cell>
          <cell r="F922" t="str">
            <v>AM</v>
          </cell>
          <cell r="H922">
            <v>50</v>
          </cell>
        </row>
        <row r="923">
          <cell r="A923">
            <v>44501</v>
          </cell>
          <cell r="B923" t="str">
            <v>Fadi Saleh</v>
          </cell>
          <cell r="E923" t="str">
            <v>TME</v>
          </cell>
          <cell r="F923" t="str">
            <v>AM</v>
          </cell>
          <cell r="H923">
            <v>50</v>
          </cell>
        </row>
        <row r="924">
          <cell r="A924">
            <v>44501</v>
          </cell>
          <cell r="B924" t="str">
            <v>Farha Hameed</v>
          </cell>
          <cell r="E924" t="str">
            <v>TME</v>
          </cell>
          <cell r="F924" t="str">
            <v>AM</v>
          </cell>
          <cell r="H924">
            <v>150.92581661290299</v>
          </cell>
        </row>
        <row r="925">
          <cell r="A925">
            <v>44501</v>
          </cell>
          <cell r="B925" t="str">
            <v>Jeevantha Ranasinghe</v>
          </cell>
          <cell r="E925" t="str">
            <v>TME</v>
          </cell>
          <cell r="F925" t="str">
            <v>AM</v>
          </cell>
          <cell r="H925">
            <v>59.783088224462503</v>
          </cell>
        </row>
        <row r="926">
          <cell r="A926">
            <v>44501</v>
          </cell>
          <cell r="B926" t="str">
            <v>Khalid Mohammed</v>
          </cell>
          <cell r="E926" t="str">
            <v>TME</v>
          </cell>
          <cell r="F926" t="str">
            <v>AM</v>
          </cell>
          <cell r="H926">
            <v>440</v>
          </cell>
        </row>
        <row r="927">
          <cell r="A927">
            <v>44501</v>
          </cell>
          <cell r="B927" t="str">
            <v>Majid Abdulla</v>
          </cell>
          <cell r="E927" t="str">
            <v>TME</v>
          </cell>
          <cell r="F927" t="str">
            <v>AM</v>
          </cell>
          <cell r="H927">
            <v>59.783088224462503</v>
          </cell>
        </row>
        <row r="928">
          <cell r="A928">
            <v>44501</v>
          </cell>
          <cell r="B928" t="str">
            <v>Waseem Suhaf</v>
          </cell>
          <cell r="E928" t="str">
            <v>TME</v>
          </cell>
          <cell r="F928" t="str">
            <v>AM</v>
          </cell>
          <cell r="H928">
            <v>59.783088224462503</v>
          </cell>
        </row>
        <row r="929">
          <cell r="A929">
            <v>44501</v>
          </cell>
          <cell r="B929" t="str">
            <v>Suleiman Wanni</v>
          </cell>
          <cell r="E929" t="str">
            <v>TME</v>
          </cell>
          <cell r="F929" t="str">
            <v>AM</v>
          </cell>
          <cell r="H929">
            <v>59.783088224462503</v>
          </cell>
        </row>
        <row r="930">
          <cell r="A930">
            <v>44501</v>
          </cell>
          <cell r="B930" t="str">
            <v>Hamzah Nofal</v>
          </cell>
          <cell r="E930" t="str">
            <v>HUNT</v>
          </cell>
          <cell r="F930" t="str">
            <v>D</v>
          </cell>
          <cell r="H930">
            <v>1552</v>
          </cell>
        </row>
        <row r="931">
          <cell r="A931">
            <v>44501</v>
          </cell>
          <cell r="B931" t="str">
            <v>Adnan Bashir</v>
          </cell>
          <cell r="E931" t="str">
            <v>HUNT</v>
          </cell>
          <cell r="F931" t="str">
            <v>AM</v>
          </cell>
          <cell r="H931">
            <v>50</v>
          </cell>
        </row>
        <row r="932">
          <cell r="A932">
            <v>44501</v>
          </cell>
          <cell r="B932" t="str">
            <v>Ammar Aladily</v>
          </cell>
          <cell r="E932" t="str">
            <v>HUNT</v>
          </cell>
          <cell r="F932" t="str">
            <v>AM</v>
          </cell>
          <cell r="H932">
            <v>250</v>
          </cell>
        </row>
        <row r="933">
          <cell r="A933">
            <v>44501</v>
          </cell>
          <cell r="B933" t="str">
            <v>Mushtaq Ahamad</v>
          </cell>
          <cell r="E933" t="str">
            <v>HUNT</v>
          </cell>
          <cell r="F933" t="str">
            <v>AM</v>
          </cell>
          <cell r="H933">
            <v>120</v>
          </cell>
        </row>
        <row r="934">
          <cell r="A934">
            <v>44501</v>
          </cell>
          <cell r="B934" t="str">
            <v>Iqbal Hussain</v>
          </cell>
          <cell r="E934" t="str">
            <v>HUNT</v>
          </cell>
          <cell r="F934" t="str">
            <v>AM</v>
          </cell>
          <cell r="H934">
            <v>600</v>
          </cell>
        </row>
        <row r="935">
          <cell r="A935">
            <v>44501</v>
          </cell>
          <cell r="B935" t="str">
            <v>Khaleel Farooki</v>
          </cell>
          <cell r="E935" t="str">
            <v>HUNT</v>
          </cell>
          <cell r="F935" t="str">
            <v>AM</v>
          </cell>
          <cell r="H935">
            <v>150</v>
          </cell>
        </row>
        <row r="936">
          <cell r="A936">
            <v>44501</v>
          </cell>
          <cell r="B936" t="str">
            <v>Muhammad Ismail</v>
          </cell>
          <cell r="E936" t="str">
            <v>HUNT</v>
          </cell>
          <cell r="F936" t="str">
            <v>AM</v>
          </cell>
          <cell r="H936">
            <v>150</v>
          </cell>
        </row>
        <row r="937">
          <cell r="A937">
            <v>44501</v>
          </cell>
          <cell r="B937" t="str">
            <v>Nasir Khan</v>
          </cell>
          <cell r="E937" t="str">
            <v>HUNT</v>
          </cell>
          <cell r="F937" t="str">
            <v>AM</v>
          </cell>
          <cell r="H937">
            <v>50</v>
          </cell>
        </row>
        <row r="938">
          <cell r="A938">
            <v>44501</v>
          </cell>
          <cell r="B938" t="str">
            <v>Wasim Raja</v>
          </cell>
          <cell r="E938" t="str">
            <v>HUNT</v>
          </cell>
          <cell r="F938" t="str">
            <v>AM</v>
          </cell>
          <cell r="H938">
            <v>120</v>
          </cell>
        </row>
        <row r="939">
          <cell r="A939">
            <v>44501</v>
          </cell>
          <cell r="B939" t="str">
            <v>Shiraz Niazi</v>
          </cell>
          <cell r="E939" t="str">
            <v>HUNT</v>
          </cell>
          <cell r="F939" t="str">
            <v>AM</v>
          </cell>
          <cell r="H939">
            <v>150</v>
          </cell>
        </row>
        <row r="940">
          <cell r="A940">
            <v>44531</v>
          </cell>
          <cell r="B940" t="str">
            <v>Mohamad Amer Sibai</v>
          </cell>
          <cell r="E940" t="str">
            <v>DXB</v>
          </cell>
          <cell r="F940" t="str">
            <v>D</v>
          </cell>
          <cell r="H940">
            <v>1500</v>
          </cell>
          <cell r="I940">
            <v>50000</v>
          </cell>
        </row>
        <row r="941">
          <cell r="A941">
            <v>44531</v>
          </cell>
          <cell r="B941" t="str">
            <v>Mohamed Mady</v>
          </cell>
          <cell r="E941" t="str">
            <v>DXB</v>
          </cell>
          <cell r="F941" t="str">
            <v>AM</v>
          </cell>
          <cell r="H941">
            <v>150</v>
          </cell>
          <cell r="I941">
            <v>7000</v>
          </cell>
        </row>
        <row r="942">
          <cell r="A942">
            <v>44531</v>
          </cell>
          <cell r="B942" t="str">
            <v>Ramzi Gholmieh</v>
          </cell>
          <cell r="E942" t="str">
            <v>DXB</v>
          </cell>
          <cell r="F942" t="str">
            <v>AM</v>
          </cell>
          <cell r="H942">
            <v>350</v>
          </cell>
          <cell r="I942">
            <v>26000</v>
          </cell>
        </row>
        <row r="943">
          <cell r="A943">
            <v>44531</v>
          </cell>
          <cell r="B943" t="str">
            <v>Saleh Barami</v>
          </cell>
          <cell r="E943" t="str">
            <v>DXB</v>
          </cell>
          <cell r="F943" t="str">
            <v>AM</v>
          </cell>
          <cell r="H943">
            <v>500</v>
          </cell>
          <cell r="I943">
            <v>5000</v>
          </cell>
        </row>
        <row r="944">
          <cell r="A944">
            <v>44531</v>
          </cell>
          <cell r="B944" t="str">
            <v>Talal Ahmed Ali Alsharhan</v>
          </cell>
          <cell r="E944" t="str">
            <v>DXB</v>
          </cell>
          <cell r="F944" t="str">
            <v>AM</v>
          </cell>
          <cell r="H944">
            <v>500</v>
          </cell>
          <cell r="I944">
            <v>12000</v>
          </cell>
        </row>
        <row r="945">
          <cell r="A945">
            <v>44531</v>
          </cell>
          <cell r="B945" t="str">
            <v>Khaled Alawadi</v>
          </cell>
          <cell r="E945" t="str">
            <v>F-NE</v>
          </cell>
          <cell r="F945" t="str">
            <v>D</v>
          </cell>
          <cell r="H945">
            <v>3800</v>
          </cell>
          <cell r="I945">
            <v>50000</v>
          </cell>
        </row>
        <row r="946">
          <cell r="A946">
            <v>44531</v>
          </cell>
          <cell r="B946" t="str">
            <v>Bader Al Shehhi</v>
          </cell>
          <cell r="E946" t="str">
            <v>F-NE</v>
          </cell>
          <cell r="F946" t="str">
            <v>AM</v>
          </cell>
          <cell r="H946">
            <v>200</v>
          </cell>
          <cell r="I946">
            <v>500</v>
          </cell>
        </row>
        <row r="947">
          <cell r="A947">
            <v>44531</v>
          </cell>
          <cell r="B947" t="str">
            <v>Majd Nairoukh</v>
          </cell>
          <cell r="E947" t="str">
            <v>F-NE</v>
          </cell>
          <cell r="F947" t="str">
            <v>AM</v>
          </cell>
          <cell r="H947">
            <v>2520</v>
          </cell>
          <cell r="I947">
            <v>40000</v>
          </cell>
        </row>
        <row r="948">
          <cell r="A948">
            <v>44531</v>
          </cell>
          <cell r="B948" t="str">
            <v>Nader AlMustafa</v>
          </cell>
          <cell r="E948" t="str">
            <v>F-NE</v>
          </cell>
          <cell r="F948" t="str">
            <v>AM</v>
          </cell>
          <cell r="H948">
            <v>50</v>
          </cell>
          <cell r="I948">
            <v>5000</v>
          </cell>
        </row>
        <row r="949">
          <cell r="A949">
            <v>44531</v>
          </cell>
          <cell r="B949" t="str">
            <v>Tariq AlAwadhi</v>
          </cell>
          <cell r="E949" t="str">
            <v>F-NE</v>
          </cell>
          <cell r="F949" t="str">
            <v>AM</v>
          </cell>
          <cell r="H949">
            <v>30</v>
          </cell>
          <cell r="I949">
            <v>2000</v>
          </cell>
        </row>
        <row r="950">
          <cell r="A950">
            <v>44531</v>
          </cell>
          <cell r="B950" t="str">
            <v>Yousef Al Baloushi</v>
          </cell>
          <cell r="E950" t="str">
            <v>F-NE</v>
          </cell>
          <cell r="F950" t="str">
            <v>AM</v>
          </cell>
          <cell r="H950">
            <v>1000</v>
          </cell>
          <cell r="I950">
            <v>2500</v>
          </cell>
        </row>
        <row r="951">
          <cell r="A951">
            <v>44531</v>
          </cell>
          <cell r="B951" t="str">
            <v>Khalid Karmastaji</v>
          </cell>
          <cell r="E951" t="str">
            <v>KA-AUH</v>
          </cell>
          <cell r="F951" t="str">
            <v>D</v>
          </cell>
          <cell r="H951">
            <v>2000</v>
          </cell>
          <cell r="I951">
            <v>50000</v>
          </cell>
        </row>
        <row r="952">
          <cell r="A952">
            <v>44531</v>
          </cell>
          <cell r="B952" t="str">
            <v>Ammar Alqudsi</v>
          </cell>
          <cell r="E952" t="str">
            <v>KA-AUH</v>
          </cell>
          <cell r="F952" t="str">
            <v>AM</v>
          </cell>
          <cell r="H952">
            <v>330</v>
          </cell>
          <cell r="I952">
            <v>10000</v>
          </cell>
        </row>
        <row r="953">
          <cell r="A953">
            <v>44531</v>
          </cell>
          <cell r="B953" t="str">
            <v>Osman Basuleman</v>
          </cell>
          <cell r="E953" t="str">
            <v>KA-AUH</v>
          </cell>
          <cell r="F953" t="str">
            <v>AM</v>
          </cell>
          <cell r="H953">
            <v>350</v>
          </cell>
          <cell r="I953">
            <v>10000</v>
          </cell>
        </row>
        <row r="954">
          <cell r="A954">
            <v>44531</v>
          </cell>
          <cell r="B954" t="str">
            <v>Tarek Solh</v>
          </cell>
          <cell r="E954" t="str">
            <v>KA-AUH</v>
          </cell>
          <cell r="F954" t="str">
            <v>AM</v>
          </cell>
          <cell r="H954">
            <v>400</v>
          </cell>
          <cell r="I954">
            <v>10000</v>
          </cell>
        </row>
        <row r="955">
          <cell r="A955">
            <v>44531</v>
          </cell>
          <cell r="B955" t="str">
            <v>Khamis Almakrani</v>
          </cell>
          <cell r="E955" t="str">
            <v>KA-AUH</v>
          </cell>
          <cell r="F955" t="str">
            <v>AM</v>
          </cell>
          <cell r="H955">
            <v>300</v>
          </cell>
          <cell r="I955">
            <v>5000</v>
          </cell>
        </row>
        <row r="956">
          <cell r="A956">
            <v>44531</v>
          </cell>
          <cell r="B956" t="str">
            <v>Ahmed Almansoori</v>
          </cell>
          <cell r="E956" t="str">
            <v>KA-AUH</v>
          </cell>
          <cell r="F956" t="str">
            <v>AM</v>
          </cell>
          <cell r="H956">
            <v>320</v>
          </cell>
          <cell r="I956">
            <v>10000</v>
          </cell>
        </row>
        <row r="957">
          <cell r="A957">
            <v>44531</v>
          </cell>
          <cell r="B957" t="str">
            <v>Khaled Alshamsi</v>
          </cell>
          <cell r="E957" t="str">
            <v>KA-AUH</v>
          </cell>
          <cell r="F957" t="str">
            <v>AM</v>
          </cell>
          <cell r="H957">
            <v>300</v>
          </cell>
          <cell r="I957">
            <v>5000</v>
          </cell>
        </row>
        <row r="958">
          <cell r="A958">
            <v>44531</v>
          </cell>
          <cell r="B958" t="str">
            <v>Mazen Adem</v>
          </cell>
          <cell r="E958" t="str">
            <v>KA</v>
          </cell>
          <cell r="F958" t="str">
            <v>D</v>
          </cell>
          <cell r="H958">
            <v>700</v>
          </cell>
          <cell r="I958">
            <v>50000</v>
          </cell>
        </row>
        <row r="959">
          <cell r="A959">
            <v>44531</v>
          </cell>
          <cell r="B959" t="str">
            <v>Abdel Azim Sharabati</v>
          </cell>
          <cell r="E959" t="str">
            <v>KA</v>
          </cell>
          <cell r="F959" t="str">
            <v>AM</v>
          </cell>
          <cell r="H959">
            <v>90</v>
          </cell>
          <cell r="I959">
            <v>10400</v>
          </cell>
        </row>
        <row r="960">
          <cell r="A960">
            <v>44531</v>
          </cell>
          <cell r="B960" t="str">
            <v>Abraham Cherian</v>
          </cell>
          <cell r="E960" t="str">
            <v>KA</v>
          </cell>
          <cell r="F960" t="str">
            <v>AM</v>
          </cell>
          <cell r="H960">
            <v>120</v>
          </cell>
          <cell r="I960">
            <v>10000</v>
          </cell>
        </row>
        <row r="961">
          <cell r="A961">
            <v>44531</v>
          </cell>
          <cell r="B961" t="str">
            <v>Arjun Subaraman</v>
          </cell>
          <cell r="E961" t="str">
            <v>KA</v>
          </cell>
          <cell r="F961" t="str">
            <v>AM</v>
          </cell>
          <cell r="H961">
            <v>115</v>
          </cell>
          <cell r="I961">
            <v>3200</v>
          </cell>
        </row>
        <row r="962">
          <cell r="A962">
            <v>44531</v>
          </cell>
          <cell r="B962" t="str">
            <v>Ghassan Fouany</v>
          </cell>
          <cell r="E962" t="str">
            <v>KA</v>
          </cell>
          <cell r="F962" t="str">
            <v>AM</v>
          </cell>
          <cell r="H962">
            <v>82</v>
          </cell>
          <cell r="I962">
            <v>20000</v>
          </cell>
        </row>
        <row r="963">
          <cell r="A963">
            <v>44531</v>
          </cell>
          <cell r="B963" t="str">
            <v>Inayat Fazili</v>
          </cell>
          <cell r="E963" t="str">
            <v>KA</v>
          </cell>
          <cell r="F963" t="str">
            <v>AM</v>
          </cell>
          <cell r="H963">
            <v>188</v>
          </cell>
          <cell r="I963">
            <v>3200</v>
          </cell>
        </row>
        <row r="964">
          <cell r="A964">
            <v>44531</v>
          </cell>
          <cell r="B964" t="str">
            <v>Khawla Almansoori</v>
          </cell>
          <cell r="E964" t="str">
            <v>KA</v>
          </cell>
          <cell r="F964" t="str">
            <v>AM</v>
          </cell>
          <cell r="H964">
            <v>105</v>
          </cell>
          <cell r="I964">
            <v>3200</v>
          </cell>
        </row>
        <row r="965">
          <cell r="A965">
            <v>44531</v>
          </cell>
          <cell r="B965" t="str">
            <v>Mustafa Shalabi</v>
          </cell>
          <cell r="E965" t="str">
            <v>FCR</v>
          </cell>
          <cell r="F965" t="str">
            <v>D</v>
          </cell>
          <cell r="H965">
            <v>1590</v>
          </cell>
        </row>
        <row r="966">
          <cell r="A966">
            <v>44531</v>
          </cell>
          <cell r="B966" t="str">
            <v>Eslam Hassan</v>
          </cell>
          <cell r="E966" t="str">
            <v>FCR</v>
          </cell>
          <cell r="F966" t="str">
            <v>AM</v>
          </cell>
          <cell r="H966">
            <v>125</v>
          </cell>
        </row>
        <row r="967">
          <cell r="A967">
            <v>44531</v>
          </cell>
          <cell r="B967" t="str">
            <v>Mahmood Murad</v>
          </cell>
          <cell r="E967" t="str">
            <v>FCR</v>
          </cell>
          <cell r="F967" t="str">
            <v>AM</v>
          </cell>
          <cell r="H967">
            <v>105</v>
          </cell>
        </row>
        <row r="968">
          <cell r="A968">
            <v>44531</v>
          </cell>
          <cell r="B968" t="str">
            <v>Mansi Trivedi</v>
          </cell>
          <cell r="E968" t="str">
            <v>FCR</v>
          </cell>
          <cell r="F968" t="str">
            <v>AM</v>
          </cell>
          <cell r="H968">
            <v>100</v>
          </cell>
        </row>
        <row r="969">
          <cell r="A969">
            <v>44531</v>
          </cell>
          <cell r="B969" t="str">
            <v>Mohamad Labban</v>
          </cell>
          <cell r="E969" t="str">
            <v>FCR</v>
          </cell>
          <cell r="F969" t="str">
            <v>AM</v>
          </cell>
          <cell r="H969">
            <v>145</v>
          </cell>
        </row>
        <row r="970">
          <cell r="A970">
            <v>44531</v>
          </cell>
          <cell r="B970" t="str">
            <v>Mohamed Mostafa</v>
          </cell>
          <cell r="E970" t="str">
            <v>FCR</v>
          </cell>
          <cell r="F970" t="str">
            <v>AM</v>
          </cell>
          <cell r="H970">
            <v>80</v>
          </cell>
        </row>
        <row r="971">
          <cell r="A971">
            <v>44531</v>
          </cell>
          <cell r="B971" t="str">
            <v>Nadeem Rasheed</v>
          </cell>
          <cell r="E971" t="str">
            <v>FCR</v>
          </cell>
          <cell r="F971" t="str">
            <v>AM</v>
          </cell>
          <cell r="H971">
            <v>150</v>
          </cell>
        </row>
        <row r="972">
          <cell r="A972">
            <v>44531</v>
          </cell>
          <cell r="B972" t="str">
            <v>Othman Hassan</v>
          </cell>
          <cell r="E972" t="str">
            <v>FCR</v>
          </cell>
          <cell r="F972" t="str">
            <v>AM</v>
          </cell>
          <cell r="H972">
            <v>115</v>
          </cell>
        </row>
        <row r="973">
          <cell r="A973">
            <v>44531</v>
          </cell>
          <cell r="B973" t="str">
            <v>Ranjith Chandran</v>
          </cell>
          <cell r="E973" t="str">
            <v>FCR</v>
          </cell>
          <cell r="F973" t="str">
            <v>AM</v>
          </cell>
          <cell r="H973">
            <v>90</v>
          </cell>
        </row>
        <row r="974">
          <cell r="A974">
            <v>44531</v>
          </cell>
          <cell r="B974" t="str">
            <v>Richard Chandy</v>
          </cell>
          <cell r="E974" t="str">
            <v>FCR</v>
          </cell>
          <cell r="F974" t="str">
            <v>AM</v>
          </cell>
          <cell r="H974">
            <v>90</v>
          </cell>
        </row>
        <row r="975">
          <cell r="A975">
            <v>44531</v>
          </cell>
          <cell r="B975" t="str">
            <v>Rijith Menon</v>
          </cell>
          <cell r="E975" t="str">
            <v>FCR</v>
          </cell>
          <cell r="F975" t="str">
            <v>AM</v>
          </cell>
          <cell r="H975">
            <v>225</v>
          </cell>
        </row>
        <row r="976">
          <cell r="A976">
            <v>44531</v>
          </cell>
          <cell r="B976" t="str">
            <v>Roshan Kelat</v>
          </cell>
          <cell r="E976" t="str">
            <v>FCR</v>
          </cell>
          <cell r="F976" t="str">
            <v>AM</v>
          </cell>
          <cell r="H976">
            <v>90</v>
          </cell>
        </row>
        <row r="977">
          <cell r="A977">
            <v>44531</v>
          </cell>
          <cell r="B977" t="str">
            <v>Simon Williams</v>
          </cell>
          <cell r="E977" t="str">
            <v>FCR</v>
          </cell>
          <cell r="F977" t="str">
            <v>AM</v>
          </cell>
          <cell r="H977">
            <v>185</v>
          </cell>
        </row>
        <row r="978">
          <cell r="A978">
            <v>44531</v>
          </cell>
          <cell r="B978" t="str">
            <v>Usman Zafar Sipra</v>
          </cell>
          <cell r="E978" t="str">
            <v>FCR</v>
          </cell>
          <cell r="F978" t="str">
            <v>AM</v>
          </cell>
          <cell r="H978">
            <v>90</v>
          </cell>
        </row>
        <row r="979">
          <cell r="A979">
            <v>44531</v>
          </cell>
          <cell r="B979" t="str">
            <v>Maitha Bin Malek</v>
          </cell>
          <cell r="E979" t="str">
            <v>HHTT</v>
          </cell>
          <cell r="F979" t="str">
            <v>D</v>
          </cell>
          <cell r="H979">
            <v>1088</v>
          </cell>
        </row>
        <row r="980">
          <cell r="A980">
            <v>44531</v>
          </cell>
          <cell r="B980" t="str">
            <v>Jithesh Vijayakumar</v>
          </cell>
          <cell r="E980" t="str">
            <v>HHTT</v>
          </cell>
          <cell r="F980" t="str">
            <v>AM</v>
          </cell>
          <cell r="H980">
            <v>79</v>
          </cell>
        </row>
        <row r="981">
          <cell r="A981">
            <v>44531</v>
          </cell>
          <cell r="B981" t="str">
            <v>Atef Kassem</v>
          </cell>
          <cell r="E981" t="str">
            <v>HHTT</v>
          </cell>
          <cell r="F981" t="str">
            <v>AM</v>
          </cell>
          <cell r="H981">
            <v>79</v>
          </cell>
        </row>
        <row r="982">
          <cell r="A982">
            <v>44531</v>
          </cell>
          <cell r="B982" t="str">
            <v>Bashar Al Adilee</v>
          </cell>
          <cell r="E982" t="str">
            <v>HHTT</v>
          </cell>
          <cell r="F982" t="str">
            <v>AM</v>
          </cell>
          <cell r="H982">
            <v>115</v>
          </cell>
        </row>
        <row r="983">
          <cell r="A983">
            <v>44531</v>
          </cell>
          <cell r="B983" t="str">
            <v>Favas Kurinhilayil</v>
          </cell>
          <cell r="E983" t="str">
            <v>HHTT</v>
          </cell>
          <cell r="F983" t="str">
            <v>AM</v>
          </cell>
          <cell r="H983">
            <v>129</v>
          </cell>
        </row>
        <row r="984">
          <cell r="A984">
            <v>44531</v>
          </cell>
          <cell r="B984" t="str">
            <v>Feroz Shaikh</v>
          </cell>
          <cell r="E984" t="str">
            <v>HHTT</v>
          </cell>
          <cell r="F984" t="str">
            <v>AM</v>
          </cell>
          <cell r="H984">
            <v>99</v>
          </cell>
        </row>
        <row r="985">
          <cell r="A985">
            <v>44531</v>
          </cell>
          <cell r="B985" t="str">
            <v>Hasa Alharthi</v>
          </cell>
          <cell r="E985" t="str">
            <v>HHTT</v>
          </cell>
          <cell r="F985" t="str">
            <v>AM</v>
          </cell>
          <cell r="H985">
            <v>79</v>
          </cell>
        </row>
        <row r="986">
          <cell r="A986">
            <v>44531</v>
          </cell>
          <cell r="B986" t="str">
            <v>Muhammad Nauman Khan</v>
          </cell>
          <cell r="E986" t="str">
            <v>HHTT</v>
          </cell>
          <cell r="F986" t="str">
            <v>AM</v>
          </cell>
          <cell r="H986">
            <v>110</v>
          </cell>
        </row>
        <row r="987">
          <cell r="A987">
            <v>44531</v>
          </cell>
          <cell r="B987" t="str">
            <v>Mushahid Hussain Syed</v>
          </cell>
          <cell r="E987" t="str">
            <v>HHTT</v>
          </cell>
          <cell r="F987" t="str">
            <v>AM</v>
          </cell>
          <cell r="H987">
            <v>89</v>
          </cell>
        </row>
        <row r="988">
          <cell r="A988">
            <v>44531</v>
          </cell>
          <cell r="B988" t="str">
            <v>Osama ElWawi</v>
          </cell>
          <cell r="E988" t="str">
            <v>HHTT</v>
          </cell>
          <cell r="F988" t="str">
            <v>AM</v>
          </cell>
          <cell r="H988">
            <v>115</v>
          </cell>
        </row>
        <row r="989">
          <cell r="A989">
            <v>44531</v>
          </cell>
          <cell r="B989" t="str">
            <v>Ramez Al Alami</v>
          </cell>
          <cell r="E989" t="str">
            <v>HHTT</v>
          </cell>
          <cell r="F989" t="str">
            <v>AM</v>
          </cell>
          <cell r="H989">
            <v>115</v>
          </cell>
        </row>
        <row r="990">
          <cell r="A990">
            <v>44531</v>
          </cell>
          <cell r="B990" t="str">
            <v>Ramy Abdel Fattah</v>
          </cell>
          <cell r="E990" t="str">
            <v>HHTT</v>
          </cell>
          <cell r="F990" t="str">
            <v>AM</v>
          </cell>
          <cell r="H990">
            <v>79</v>
          </cell>
        </row>
        <row r="991">
          <cell r="A991">
            <v>44531</v>
          </cell>
          <cell r="B991" t="str">
            <v>Imran Malik</v>
          </cell>
          <cell r="E991" t="str">
            <v>RCOGM</v>
          </cell>
          <cell r="F991" t="str">
            <v>D</v>
          </cell>
          <cell r="H991">
            <v>1110</v>
          </cell>
        </row>
        <row r="992">
          <cell r="A992">
            <v>44531</v>
          </cell>
          <cell r="B992" t="str">
            <v>Ali Alzarooni</v>
          </cell>
          <cell r="E992" t="str">
            <v>RCOGM</v>
          </cell>
          <cell r="F992" t="str">
            <v>AM</v>
          </cell>
          <cell r="H992">
            <v>88</v>
          </cell>
        </row>
        <row r="993">
          <cell r="A993">
            <v>44531</v>
          </cell>
          <cell r="B993" t="str">
            <v>Ali Shahin</v>
          </cell>
          <cell r="E993" t="str">
            <v>RCOGM</v>
          </cell>
          <cell r="F993" t="str">
            <v>AM</v>
          </cell>
          <cell r="H993">
            <v>88</v>
          </cell>
        </row>
        <row r="994">
          <cell r="A994">
            <v>44531</v>
          </cell>
          <cell r="B994" t="str">
            <v>Mohamed Kishk</v>
          </cell>
          <cell r="E994" t="str">
            <v>RCOGM</v>
          </cell>
          <cell r="F994" t="str">
            <v>AM</v>
          </cell>
          <cell r="H994">
            <v>88</v>
          </cell>
        </row>
        <row r="995">
          <cell r="A995">
            <v>44531</v>
          </cell>
          <cell r="B995" t="str">
            <v>Mohd Sheikh Salem</v>
          </cell>
          <cell r="E995" t="str">
            <v>RCOGM</v>
          </cell>
          <cell r="F995" t="str">
            <v>AM</v>
          </cell>
          <cell r="H995">
            <v>88</v>
          </cell>
        </row>
        <row r="996">
          <cell r="A996">
            <v>44531</v>
          </cell>
          <cell r="B996" t="str">
            <v>Ayaz Zargar</v>
          </cell>
          <cell r="E996" t="str">
            <v>RCOGM</v>
          </cell>
          <cell r="F996" t="str">
            <v>AM</v>
          </cell>
          <cell r="H996">
            <v>88</v>
          </cell>
        </row>
        <row r="997">
          <cell r="A997">
            <v>44531</v>
          </cell>
          <cell r="B997" t="str">
            <v>Rima Al Safadi</v>
          </cell>
          <cell r="E997" t="str">
            <v>RCOGM</v>
          </cell>
          <cell r="F997" t="str">
            <v>AM</v>
          </cell>
          <cell r="H997">
            <v>88</v>
          </cell>
        </row>
        <row r="998">
          <cell r="A998">
            <v>44531</v>
          </cell>
          <cell r="B998" t="str">
            <v>Sana Shaikh</v>
          </cell>
          <cell r="E998" t="str">
            <v>RCOGM</v>
          </cell>
          <cell r="F998" t="str">
            <v>AM</v>
          </cell>
          <cell r="H998">
            <v>88</v>
          </cell>
        </row>
        <row r="999">
          <cell r="A999">
            <v>44531</v>
          </cell>
          <cell r="B999" t="str">
            <v>Shabbir Lacewala</v>
          </cell>
          <cell r="E999" t="str">
            <v>RCOGM</v>
          </cell>
          <cell r="F999" t="str">
            <v>AM</v>
          </cell>
          <cell r="H999">
            <v>88</v>
          </cell>
        </row>
        <row r="1000">
          <cell r="A1000">
            <v>44531</v>
          </cell>
          <cell r="B1000" t="str">
            <v>Shadab Sheikh</v>
          </cell>
          <cell r="E1000" t="str">
            <v>RCOGM</v>
          </cell>
          <cell r="F1000" t="str">
            <v>AM</v>
          </cell>
          <cell r="H1000">
            <v>88</v>
          </cell>
        </row>
        <row r="1001">
          <cell r="A1001">
            <v>44531</v>
          </cell>
          <cell r="B1001" t="str">
            <v>Vandana Dubey</v>
          </cell>
          <cell r="E1001" t="str">
            <v>RCOGM</v>
          </cell>
          <cell r="F1001" t="str">
            <v>AM</v>
          </cell>
          <cell r="H1001">
            <v>88</v>
          </cell>
        </row>
        <row r="1002">
          <cell r="A1002">
            <v>44531</v>
          </cell>
          <cell r="B1002" t="str">
            <v>Vineeth Augustine</v>
          </cell>
          <cell r="E1002" t="str">
            <v>RCOGM</v>
          </cell>
          <cell r="F1002" t="str">
            <v>AM</v>
          </cell>
          <cell r="H1002">
            <v>88</v>
          </cell>
        </row>
        <row r="1003">
          <cell r="A1003">
            <v>44531</v>
          </cell>
          <cell r="B1003" t="str">
            <v>Waseem Choudhary</v>
          </cell>
          <cell r="E1003" t="str">
            <v>RCOGM</v>
          </cell>
          <cell r="F1003" t="str">
            <v>AM</v>
          </cell>
          <cell r="H1003">
            <v>88</v>
          </cell>
        </row>
        <row r="1004">
          <cell r="A1004">
            <v>44531</v>
          </cell>
          <cell r="B1004" t="str">
            <v>Danish Shabir</v>
          </cell>
          <cell r="E1004" t="str">
            <v>RCOGM</v>
          </cell>
          <cell r="F1004" t="str">
            <v>AM</v>
          </cell>
          <cell r="H1004">
            <v>54</v>
          </cell>
        </row>
        <row r="1005">
          <cell r="A1005">
            <v>44531</v>
          </cell>
          <cell r="B1005" t="str">
            <v>Hany Jawee</v>
          </cell>
          <cell r="E1005" t="str">
            <v>TME</v>
          </cell>
          <cell r="F1005" t="str">
            <v>D</v>
          </cell>
          <cell r="H1005">
            <v>1260</v>
          </cell>
        </row>
        <row r="1006">
          <cell r="A1006">
            <v>44531</v>
          </cell>
          <cell r="B1006" t="str">
            <v>Buhari Buhari</v>
          </cell>
          <cell r="E1006" t="str">
            <v>TME</v>
          </cell>
          <cell r="F1006" t="str">
            <v>AM</v>
          </cell>
          <cell r="H1006">
            <v>60</v>
          </cell>
        </row>
        <row r="1007">
          <cell r="A1007">
            <v>44531</v>
          </cell>
          <cell r="B1007" t="str">
            <v>Ahmad Ozdamir</v>
          </cell>
          <cell r="E1007" t="str">
            <v>TME</v>
          </cell>
          <cell r="F1007" t="str">
            <v>AM</v>
          </cell>
          <cell r="H1007">
            <v>70</v>
          </cell>
        </row>
        <row r="1008">
          <cell r="A1008">
            <v>44531</v>
          </cell>
          <cell r="B1008" t="str">
            <v>Ahmed AlShehhi</v>
          </cell>
          <cell r="E1008" t="str">
            <v>TME</v>
          </cell>
          <cell r="F1008" t="str">
            <v>AM</v>
          </cell>
          <cell r="H1008">
            <v>60</v>
          </cell>
        </row>
        <row r="1009">
          <cell r="A1009">
            <v>44531</v>
          </cell>
          <cell r="B1009" t="str">
            <v>Amjad Ilwan</v>
          </cell>
          <cell r="E1009" t="str">
            <v>TME</v>
          </cell>
          <cell r="F1009" t="str">
            <v>AM</v>
          </cell>
          <cell r="H1009">
            <v>70</v>
          </cell>
        </row>
        <row r="1010">
          <cell r="A1010">
            <v>44531</v>
          </cell>
          <cell r="B1010" t="str">
            <v>Anastasia Maltseva</v>
          </cell>
          <cell r="E1010" t="str">
            <v>TME</v>
          </cell>
          <cell r="F1010" t="str">
            <v>AM</v>
          </cell>
          <cell r="H1010">
            <v>60</v>
          </cell>
        </row>
        <row r="1011">
          <cell r="A1011">
            <v>44531</v>
          </cell>
          <cell r="B1011" t="str">
            <v>Ehab Hajou</v>
          </cell>
          <cell r="E1011" t="str">
            <v>TME</v>
          </cell>
          <cell r="F1011" t="str">
            <v>AM</v>
          </cell>
          <cell r="H1011">
            <v>70</v>
          </cell>
        </row>
        <row r="1012">
          <cell r="A1012">
            <v>44531</v>
          </cell>
          <cell r="B1012" t="str">
            <v>Fadi Saleh</v>
          </cell>
          <cell r="E1012" t="str">
            <v>TME</v>
          </cell>
          <cell r="F1012" t="str">
            <v>AM</v>
          </cell>
          <cell r="H1012">
            <v>70</v>
          </cell>
        </row>
        <row r="1013">
          <cell r="A1013">
            <v>44531</v>
          </cell>
          <cell r="B1013" t="str">
            <v>Farha Hameed</v>
          </cell>
          <cell r="E1013" t="str">
            <v>TME</v>
          </cell>
          <cell r="F1013" t="str">
            <v>AM</v>
          </cell>
          <cell r="H1013">
            <v>114</v>
          </cell>
        </row>
        <row r="1014">
          <cell r="A1014">
            <v>44531</v>
          </cell>
          <cell r="B1014" t="str">
            <v>Jeevantha Ranasinghe</v>
          </cell>
          <cell r="E1014" t="str">
            <v>TME</v>
          </cell>
          <cell r="F1014" t="str">
            <v>AM</v>
          </cell>
          <cell r="H1014">
            <v>70</v>
          </cell>
        </row>
        <row r="1015">
          <cell r="A1015">
            <v>44531</v>
          </cell>
          <cell r="B1015" t="str">
            <v>Khalid Mohammed</v>
          </cell>
          <cell r="E1015" t="str">
            <v>TME</v>
          </cell>
          <cell r="F1015" t="str">
            <v>AM</v>
          </cell>
          <cell r="H1015">
            <v>386</v>
          </cell>
        </row>
        <row r="1016">
          <cell r="A1016">
            <v>44531</v>
          </cell>
          <cell r="B1016" t="str">
            <v>Majid Abdulla</v>
          </cell>
          <cell r="E1016" t="str">
            <v>TME</v>
          </cell>
          <cell r="F1016" t="str">
            <v>AM</v>
          </cell>
          <cell r="H1016">
            <v>80</v>
          </cell>
        </row>
        <row r="1017">
          <cell r="A1017">
            <v>44531</v>
          </cell>
          <cell r="B1017" t="str">
            <v>Waseem Suhaf</v>
          </cell>
          <cell r="E1017" t="str">
            <v>TME</v>
          </cell>
          <cell r="F1017" t="str">
            <v>AM</v>
          </cell>
          <cell r="H1017">
            <v>80</v>
          </cell>
        </row>
        <row r="1018">
          <cell r="A1018">
            <v>44531</v>
          </cell>
          <cell r="B1018" t="str">
            <v>Suleiman Wanni</v>
          </cell>
          <cell r="E1018" t="str">
            <v>TME</v>
          </cell>
          <cell r="F1018" t="str">
            <v>AM</v>
          </cell>
          <cell r="H1018">
            <v>70</v>
          </cell>
        </row>
        <row r="1019">
          <cell r="A1019">
            <v>44531</v>
          </cell>
          <cell r="B1019" t="str">
            <v>Hamzah Nofal</v>
          </cell>
          <cell r="E1019" t="str">
            <v>HUNT</v>
          </cell>
          <cell r="F1019" t="str">
            <v>D</v>
          </cell>
          <cell r="H1019">
            <v>1152</v>
          </cell>
        </row>
        <row r="1020">
          <cell r="A1020">
            <v>44531</v>
          </cell>
          <cell r="B1020" t="str">
            <v>Adnan Bashir</v>
          </cell>
          <cell r="E1020" t="str">
            <v>HUNT</v>
          </cell>
          <cell r="F1020" t="str">
            <v>AM</v>
          </cell>
          <cell r="H1020">
            <v>20</v>
          </cell>
        </row>
        <row r="1021">
          <cell r="A1021">
            <v>44531</v>
          </cell>
          <cell r="B1021" t="str">
            <v>Ammar Aladily</v>
          </cell>
          <cell r="E1021" t="str">
            <v>HUNT</v>
          </cell>
          <cell r="F1021" t="str">
            <v>AM</v>
          </cell>
          <cell r="H1021">
            <v>150</v>
          </cell>
        </row>
        <row r="1022">
          <cell r="A1022">
            <v>44531</v>
          </cell>
          <cell r="B1022" t="str">
            <v>Mushtaq Ahamad</v>
          </cell>
          <cell r="E1022" t="str">
            <v>HUNT</v>
          </cell>
          <cell r="F1022" t="str">
            <v>AM</v>
          </cell>
          <cell r="H1022">
            <v>120</v>
          </cell>
        </row>
        <row r="1023">
          <cell r="A1023">
            <v>44531</v>
          </cell>
          <cell r="B1023" t="str">
            <v>Iqbal Hussain</v>
          </cell>
          <cell r="E1023" t="str">
            <v>HUNT</v>
          </cell>
          <cell r="F1023" t="str">
            <v>AM</v>
          </cell>
          <cell r="H1023">
            <v>550</v>
          </cell>
        </row>
        <row r="1024">
          <cell r="A1024">
            <v>44531</v>
          </cell>
          <cell r="B1024" t="str">
            <v>Khaleel Farooki</v>
          </cell>
          <cell r="E1024" t="str">
            <v>HUNT</v>
          </cell>
          <cell r="F1024" t="str">
            <v>AM</v>
          </cell>
          <cell r="H1024">
            <v>120</v>
          </cell>
        </row>
        <row r="1025">
          <cell r="A1025">
            <v>44531</v>
          </cell>
          <cell r="B1025" t="str">
            <v>Muhammad Ismail</v>
          </cell>
          <cell r="E1025" t="str">
            <v>HUNT</v>
          </cell>
          <cell r="F1025" t="str">
            <v>AM</v>
          </cell>
          <cell r="H1025">
            <v>120</v>
          </cell>
        </row>
        <row r="1026">
          <cell r="A1026">
            <v>44531</v>
          </cell>
          <cell r="B1026" t="str">
            <v>Nasir Khan</v>
          </cell>
          <cell r="E1026" t="str">
            <v>HUNT</v>
          </cell>
          <cell r="F1026" t="str">
            <v>AM</v>
          </cell>
          <cell r="H1026">
            <v>20</v>
          </cell>
        </row>
        <row r="1027">
          <cell r="A1027">
            <v>44531</v>
          </cell>
          <cell r="B1027" t="str">
            <v>Wasim Raja</v>
          </cell>
          <cell r="E1027" t="str">
            <v>HUNT</v>
          </cell>
          <cell r="F1027" t="str">
            <v>AM</v>
          </cell>
          <cell r="H1027">
            <v>120</v>
          </cell>
        </row>
        <row r="1028">
          <cell r="A1028">
            <v>44531</v>
          </cell>
          <cell r="B1028" t="str">
            <v>Shiraz Niazi</v>
          </cell>
          <cell r="E1028" t="str">
            <v>HUNT</v>
          </cell>
          <cell r="F1028" t="str">
            <v>AM</v>
          </cell>
          <cell r="H1028">
            <v>120</v>
          </cell>
        </row>
        <row r="1029">
          <cell r="A1029">
            <v>44562</v>
          </cell>
          <cell r="B1029" t="str">
            <v>Mohamad Amer Sibai</v>
          </cell>
          <cell r="E1029" t="str">
            <v>DXB</v>
          </cell>
          <cell r="F1029" t="str">
            <v>D</v>
          </cell>
          <cell r="H1029">
            <v>1500</v>
          </cell>
          <cell r="I1029">
            <v>50000</v>
          </cell>
        </row>
        <row r="1030">
          <cell r="A1030">
            <v>44562</v>
          </cell>
          <cell r="B1030" t="str">
            <v>Mohamed Mady</v>
          </cell>
          <cell r="E1030" t="str">
            <v>DXB</v>
          </cell>
          <cell r="F1030" t="str">
            <v>AM</v>
          </cell>
          <cell r="H1030">
            <v>150</v>
          </cell>
          <cell r="I1030">
            <v>5000</v>
          </cell>
        </row>
        <row r="1031">
          <cell r="A1031">
            <v>44562</v>
          </cell>
          <cell r="B1031" t="str">
            <v>Ramzi Gholmieh</v>
          </cell>
          <cell r="E1031" t="str">
            <v>DXB</v>
          </cell>
          <cell r="F1031" t="str">
            <v>AM</v>
          </cell>
          <cell r="H1031">
            <v>450</v>
          </cell>
          <cell r="I1031">
            <v>15000</v>
          </cell>
        </row>
        <row r="1032">
          <cell r="A1032">
            <v>44562</v>
          </cell>
          <cell r="B1032" t="str">
            <v>Saleh Barami</v>
          </cell>
          <cell r="E1032" t="str">
            <v>DXB</v>
          </cell>
          <cell r="F1032" t="str">
            <v>AM</v>
          </cell>
          <cell r="H1032">
            <v>400</v>
          </cell>
          <cell r="I1032">
            <v>15000</v>
          </cell>
        </row>
        <row r="1033">
          <cell r="A1033">
            <v>44562</v>
          </cell>
          <cell r="B1033" t="str">
            <v>Talal Ahmed Ali Alsharhan</v>
          </cell>
          <cell r="E1033" t="str">
            <v>DXB</v>
          </cell>
          <cell r="F1033" t="str">
            <v>AM</v>
          </cell>
          <cell r="H1033">
            <v>500</v>
          </cell>
          <cell r="I1033">
            <v>15000</v>
          </cell>
        </row>
        <row r="1034">
          <cell r="A1034">
            <v>44562</v>
          </cell>
          <cell r="B1034" t="str">
            <v>Khaled Alawadi</v>
          </cell>
          <cell r="E1034" t="str">
            <v>F-NE</v>
          </cell>
          <cell r="F1034" t="str">
            <v>D</v>
          </cell>
          <cell r="H1034">
            <v>3800</v>
          </cell>
          <cell r="I1034">
            <v>50000</v>
          </cell>
        </row>
        <row r="1035">
          <cell r="A1035">
            <v>44562</v>
          </cell>
          <cell r="B1035" t="str">
            <v>Bader Al Shehhi</v>
          </cell>
          <cell r="E1035" t="str">
            <v>F-NE</v>
          </cell>
          <cell r="F1035" t="str">
            <v>AM</v>
          </cell>
          <cell r="H1035">
            <v>100</v>
          </cell>
          <cell r="I1035">
            <v>2150</v>
          </cell>
        </row>
        <row r="1036">
          <cell r="A1036">
            <v>44562</v>
          </cell>
          <cell r="B1036" t="str">
            <v>Majd Nairoukh</v>
          </cell>
          <cell r="E1036" t="str">
            <v>F-NE</v>
          </cell>
          <cell r="F1036" t="str">
            <v>AM</v>
          </cell>
          <cell r="H1036">
            <v>2880</v>
          </cell>
          <cell r="I1036">
            <v>3800</v>
          </cell>
        </row>
        <row r="1037">
          <cell r="A1037">
            <v>44562</v>
          </cell>
          <cell r="B1037" t="str">
            <v>Nader AlMustafa</v>
          </cell>
          <cell r="E1037" t="str">
            <v>F-NE</v>
          </cell>
          <cell r="F1037" t="str">
            <v>AM</v>
          </cell>
          <cell r="H1037">
            <v>40</v>
          </cell>
          <cell r="I1037">
            <v>40200</v>
          </cell>
        </row>
        <row r="1038">
          <cell r="A1038">
            <v>44562</v>
          </cell>
          <cell r="B1038" t="str">
            <v>Tariq AlAwadhi</v>
          </cell>
          <cell r="E1038" t="str">
            <v>F-NE</v>
          </cell>
          <cell r="F1038" t="str">
            <v>AM</v>
          </cell>
          <cell r="H1038">
            <v>30</v>
          </cell>
          <cell r="I1038">
            <v>1650</v>
          </cell>
        </row>
        <row r="1039">
          <cell r="A1039">
            <v>44562</v>
          </cell>
          <cell r="B1039" t="str">
            <v>Yousef Al Baloushi</v>
          </cell>
          <cell r="E1039" t="str">
            <v>F-NE</v>
          </cell>
          <cell r="F1039" t="str">
            <v>AM</v>
          </cell>
          <cell r="H1039">
            <v>750</v>
          </cell>
          <cell r="I1039">
            <v>2200</v>
          </cell>
        </row>
        <row r="1040">
          <cell r="A1040">
            <v>44562</v>
          </cell>
          <cell r="B1040" t="str">
            <v>Khalid Karmastaji</v>
          </cell>
          <cell r="E1040" t="str">
            <v>KA-AUH</v>
          </cell>
          <cell r="F1040" t="str">
            <v>D</v>
          </cell>
          <cell r="H1040">
            <v>2000</v>
          </cell>
          <cell r="I1040">
            <v>50000</v>
          </cell>
        </row>
        <row r="1041">
          <cell r="A1041">
            <v>44562</v>
          </cell>
          <cell r="B1041" t="str">
            <v>Ammar Alqudsi</v>
          </cell>
          <cell r="E1041" t="str">
            <v>KA-AUH</v>
          </cell>
          <cell r="F1041" t="str">
            <v>AM</v>
          </cell>
          <cell r="H1041">
            <v>350</v>
          </cell>
          <cell r="I1041">
            <v>10000</v>
          </cell>
        </row>
        <row r="1042">
          <cell r="A1042">
            <v>44562</v>
          </cell>
          <cell r="B1042" t="str">
            <v>Osman Basuleman</v>
          </cell>
          <cell r="E1042" t="str">
            <v>KA-AUH</v>
          </cell>
          <cell r="F1042" t="str">
            <v>AM</v>
          </cell>
          <cell r="H1042">
            <v>350</v>
          </cell>
          <cell r="I1042">
            <v>10000</v>
          </cell>
        </row>
        <row r="1043">
          <cell r="A1043">
            <v>44562</v>
          </cell>
          <cell r="B1043" t="str">
            <v>Tarek Solh</v>
          </cell>
          <cell r="E1043" t="str">
            <v>KA-AUH</v>
          </cell>
          <cell r="F1043" t="str">
            <v>AM</v>
          </cell>
          <cell r="H1043">
            <v>400</v>
          </cell>
          <cell r="I1043">
            <v>12000</v>
          </cell>
        </row>
        <row r="1044">
          <cell r="A1044">
            <v>44562</v>
          </cell>
          <cell r="B1044" t="str">
            <v>Khamis Almakrani</v>
          </cell>
          <cell r="E1044" t="str">
            <v>KA-AUH</v>
          </cell>
          <cell r="F1044" t="str">
            <v>AM</v>
          </cell>
          <cell r="H1044">
            <v>300</v>
          </cell>
          <cell r="I1044">
            <v>5000</v>
          </cell>
        </row>
        <row r="1045">
          <cell r="A1045">
            <v>44562</v>
          </cell>
          <cell r="B1045" t="str">
            <v>Ahmed Almansoori</v>
          </cell>
          <cell r="E1045" t="str">
            <v>KA-AUH</v>
          </cell>
          <cell r="F1045" t="str">
            <v>AM</v>
          </cell>
          <cell r="H1045">
            <v>300</v>
          </cell>
          <cell r="I1045">
            <v>8000</v>
          </cell>
        </row>
        <row r="1046">
          <cell r="A1046">
            <v>44562</v>
          </cell>
          <cell r="B1046" t="str">
            <v>Khaled Alshamsi</v>
          </cell>
          <cell r="E1046" t="str">
            <v>KA-AUH</v>
          </cell>
          <cell r="F1046" t="str">
            <v>AM</v>
          </cell>
          <cell r="H1046">
            <v>300</v>
          </cell>
          <cell r="I1046">
            <v>5000</v>
          </cell>
        </row>
        <row r="1047">
          <cell r="A1047">
            <v>44562</v>
          </cell>
          <cell r="B1047" t="str">
            <v>Mazen Adem</v>
          </cell>
          <cell r="E1047" t="str">
            <v>KA</v>
          </cell>
          <cell r="F1047" t="str">
            <v>D</v>
          </cell>
          <cell r="H1047">
            <v>700</v>
          </cell>
          <cell r="I1047">
            <v>50000</v>
          </cell>
        </row>
        <row r="1048">
          <cell r="A1048">
            <v>44562</v>
          </cell>
          <cell r="B1048" t="str">
            <v>Abdel Azim Sharabati</v>
          </cell>
          <cell r="E1048" t="str">
            <v>KA</v>
          </cell>
          <cell r="F1048" t="str">
            <v>AM</v>
          </cell>
          <cell r="H1048">
            <v>140</v>
          </cell>
          <cell r="I1048">
            <v>10000</v>
          </cell>
        </row>
        <row r="1049">
          <cell r="A1049">
            <v>44562</v>
          </cell>
          <cell r="B1049" t="str">
            <v>Abraham Cherian</v>
          </cell>
          <cell r="E1049" t="str">
            <v>KA</v>
          </cell>
          <cell r="F1049" t="str">
            <v>AM</v>
          </cell>
          <cell r="H1049">
            <v>140</v>
          </cell>
          <cell r="I1049">
            <v>10000</v>
          </cell>
        </row>
        <row r="1050">
          <cell r="A1050">
            <v>44562</v>
          </cell>
          <cell r="B1050" t="str">
            <v>Arjun Subaraman</v>
          </cell>
          <cell r="E1050" t="str">
            <v>KA</v>
          </cell>
          <cell r="F1050" t="str">
            <v>AM</v>
          </cell>
          <cell r="H1050">
            <v>140</v>
          </cell>
          <cell r="I1050">
            <v>10000</v>
          </cell>
        </row>
        <row r="1051">
          <cell r="A1051">
            <v>44562</v>
          </cell>
          <cell r="B1051" t="str">
            <v>Ghassan Fouany</v>
          </cell>
          <cell r="E1051" t="str">
            <v>KA</v>
          </cell>
          <cell r="F1051" t="str">
            <v>AM</v>
          </cell>
          <cell r="H1051">
            <v>140</v>
          </cell>
          <cell r="I1051">
            <v>10000</v>
          </cell>
        </row>
        <row r="1052">
          <cell r="A1052">
            <v>44562</v>
          </cell>
          <cell r="B1052" t="str">
            <v>Inayat Fazili</v>
          </cell>
          <cell r="E1052" t="str">
            <v>KA</v>
          </cell>
          <cell r="F1052" t="str">
            <v>AM</v>
          </cell>
          <cell r="H1052">
            <v>140</v>
          </cell>
          <cell r="I1052">
            <v>10000</v>
          </cell>
        </row>
        <row r="1053">
          <cell r="A1053">
            <v>44562</v>
          </cell>
          <cell r="B1053" t="str">
            <v>Mustafa Shalabi</v>
          </cell>
          <cell r="E1053" t="str">
            <v>FCR</v>
          </cell>
          <cell r="F1053" t="str">
            <v>D</v>
          </cell>
          <cell r="H1053">
            <v>1807.56</v>
          </cell>
          <cell r="I1053">
            <v>190000</v>
          </cell>
        </row>
        <row r="1054">
          <cell r="A1054">
            <v>44562</v>
          </cell>
          <cell r="B1054" t="str">
            <v>Eslam Hassan</v>
          </cell>
          <cell r="E1054" t="str">
            <v>FCR</v>
          </cell>
          <cell r="F1054" t="str">
            <v>AM</v>
          </cell>
          <cell r="H1054">
            <v>145</v>
          </cell>
          <cell r="I1054">
            <v>15478</v>
          </cell>
        </row>
        <row r="1055">
          <cell r="A1055">
            <v>44562</v>
          </cell>
          <cell r="B1055" t="str">
            <v>Mahmood Murad</v>
          </cell>
          <cell r="E1055" t="str">
            <v>FCR</v>
          </cell>
          <cell r="F1055" t="str">
            <v>AM</v>
          </cell>
          <cell r="H1055">
            <v>145</v>
          </cell>
          <cell r="I1055">
            <v>18462</v>
          </cell>
        </row>
        <row r="1056">
          <cell r="A1056">
            <v>44562</v>
          </cell>
          <cell r="B1056" t="str">
            <v>Mansi Trivedi</v>
          </cell>
          <cell r="E1056" t="str">
            <v>FCR</v>
          </cell>
          <cell r="F1056" t="str">
            <v>AM</v>
          </cell>
          <cell r="H1056">
            <v>115</v>
          </cell>
          <cell r="I1056">
            <v>10950</v>
          </cell>
        </row>
        <row r="1057">
          <cell r="A1057">
            <v>44562</v>
          </cell>
          <cell r="B1057" t="str">
            <v>Mohamad Labban</v>
          </cell>
          <cell r="E1057" t="str">
            <v>FCR</v>
          </cell>
          <cell r="F1057" t="str">
            <v>AM</v>
          </cell>
          <cell r="H1057">
            <v>145</v>
          </cell>
          <cell r="I1057">
            <v>18462</v>
          </cell>
        </row>
        <row r="1058">
          <cell r="A1058">
            <v>44562</v>
          </cell>
          <cell r="B1058" t="str">
            <v>Mohamed Mostafa</v>
          </cell>
          <cell r="E1058" t="str">
            <v>FCR</v>
          </cell>
          <cell r="F1058" t="str">
            <v>AM</v>
          </cell>
          <cell r="H1058">
            <v>115</v>
          </cell>
          <cell r="I1058">
            <v>18462</v>
          </cell>
        </row>
        <row r="1059">
          <cell r="A1059">
            <v>44562</v>
          </cell>
          <cell r="B1059" t="str">
            <v>Nadeem Rasheed</v>
          </cell>
          <cell r="E1059" t="str">
            <v>FCR</v>
          </cell>
          <cell r="F1059" t="str">
            <v>AM</v>
          </cell>
          <cell r="H1059">
            <v>150</v>
          </cell>
          <cell r="I1059">
            <v>18462</v>
          </cell>
        </row>
        <row r="1060">
          <cell r="A1060">
            <v>44562</v>
          </cell>
          <cell r="B1060" t="str">
            <v>Othman Hassan</v>
          </cell>
          <cell r="E1060" t="str">
            <v>FCR</v>
          </cell>
          <cell r="F1060" t="str">
            <v>AM</v>
          </cell>
          <cell r="H1060">
            <v>145</v>
          </cell>
          <cell r="I1060">
            <v>18462</v>
          </cell>
        </row>
        <row r="1061">
          <cell r="A1061">
            <v>44562</v>
          </cell>
          <cell r="B1061" t="str">
            <v>Ranjith Chandran</v>
          </cell>
          <cell r="E1061" t="str">
            <v>FCR</v>
          </cell>
          <cell r="F1061" t="str">
            <v>AM</v>
          </cell>
          <cell r="H1061">
            <v>115</v>
          </cell>
          <cell r="I1061">
            <v>10950</v>
          </cell>
        </row>
        <row r="1062">
          <cell r="A1062">
            <v>44562</v>
          </cell>
          <cell r="B1062" t="str">
            <v>Richard Chandy</v>
          </cell>
          <cell r="E1062" t="str">
            <v>FCR</v>
          </cell>
          <cell r="F1062" t="str">
            <v>AM</v>
          </cell>
          <cell r="H1062">
            <v>115</v>
          </cell>
          <cell r="I1062">
            <v>10950</v>
          </cell>
        </row>
        <row r="1063">
          <cell r="A1063">
            <v>44562</v>
          </cell>
          <cell r="B1063" t="str">
            <v>Rijith Menon</v>
          </cell>
          <cell r="E1063" t="str">
            <v>FCR</v>
          </cell>
          <cell r="F1063" t="str">
            <v>AM</v>
          </cell>
          <cell r="H1063">
            <v>100</v>
          </cell>
          <cell r="I1063">
            <v>9000</v>
          </cell>
        </row>
        <row r="1064">
          <cell r="A1064">
            <v>44562</v>
          </cell>
          <cell r="B1064" t="str">
            <v>Roshan Kelat</v>
          </cell>
          <cell r="E1064" t="str">
            <v>FCR</v>
          </cell>
          <cell r="F1064" t="str">
            <v>AM</v>
          </cell>
          <cell r="H1064">
            <v>155</v>
          </cell>
          <cell r="I1064">
            <v>10950</v>
          </cell>
        </row>
        <row r="1065">
          <cell r="A1065">
            <v>44562</v>
          </cell>
          <cell r="B1065" t="str">
            <v>Simon Williams</v>
          </cell>
          <cell r="E1065" t="str">
            <v>FCR</v>
          </cell>
          <cell r="F1065" t="str">
            <v>AM</v>
          </cell>
          <cell r="H1065">
            <v>195</v>
          </cell>
          <cell r="I1065">
            <v>18462</v>
          </cell>
        </row>
        <row r="1066">
          <cell r="A1066">
            <v>44562</v>
          </cell>
          <cell r="B1066" t="str">
            <v>Usman Zafar Sipra</v>
          </cell>
          <cell r="E1066" t="str">
            <v>FCR</v>
          </cell>
          <cell r="F1066" t="str">
            <v>AM</v>
          </cell>
          <cell r="H1066">
            <v>168</v>
          </cell>
          <cell r="I1066">
            <v>10950</v>
          </cell>
        </row>
        <row r="1067">
          <cell r="A1067">
            <v>44562</v>
          </cell>
          <cell r="B1067" t="str">
            <v>Maitha Bin Malek</v>
          </cell>
          <cell r="E1067" t="str">
            <v>HHTT</v>
          </cell>
          <cell r="F1067" t="str">
            <v>D</v>
          </cell>
          <cell r="H1067">
            <v>1329.8</v>
          </cell>
          <cell r="I1067">
            <v>135000</v>
          </cell>
        </row>
        <row r="1068">
          <cell r="A1068">
            <v>44562</v>
          </cell>
          <cell r="B1068" t="str">
            <v>Atef Kassem</v>
          </cell>
          <cell r="E1068" t="str">
            <v>HHTT</v>
          </cell>
          <cell r="F1068" t="str">
            <v>AM</v>
          </cell>
          <cell r="H1068">
            <v>90</v>
          </cell>
          <cell r="I1068">
            <v>12000</v>
          </cell>
        </row>
        <row r="1069">
          <cell r="A1069">
            <v>44562</v>
          </cell>
          <cell r="B1069" t="str">
            <v>Bashar Al Adilee</v>
          </cell>
          <cell r="E1069" t="str">
            <v>HHTT</v>
          </cell>
          <cell r="F1069" t="str">
            <v>AM</v>
          </cell>
          <cell r="H1069">
            <v>145</v>
          </cell>
          <cell r="I1069">
            <v>15000</v>
          </cell>
        </row>
        <row r="1070">
          <cell r="A1070">
            <v>44562</v>
          </cell>
          <cell r="B1070" t="str">
            <v>Favas Kurinhilayil</v>
          </cell>
          <cell r="E1070" t="str">
            <v>HHTT</v>
          </cell>
          <cell r="F1070" t="str">
            <v>AM</v>
          </cell>
          <cell r="H1070">
            <v>180</v>
          </cell>
          <cell r="I1070">
            <v>12000</v>
          </cell>
        </row>
        <row r="1071">
          <cell r="A1071">
            <v>44562</v>
          </cell>
          <cell r="B1071" t="str">
            <v>Feroz Shaikh</v>
          </cell>
          <cell r="E1071" t="str">
            <v>HHTT</v>
          </cell>
          <cell r="F1071" t="str">
            <v>AM</v>
          </cell>
          <cell r="H1071">
            <v>115</v>
          </cell>
          <cell r="I1071">
            <v>13000</v>
          </cell>
        </row>
        <row r="1072">
          <cell r="A1072">
            <v>44562</v>
          </cell>
          <cell r="B1072" t="str">
            <v>Hasa Alharthi</v>
          </cell>
          <cell r="E1072" t="str">
            <v>HHTT</v>
          </cell>
          <cell r="F1072" t="str">
            <v>AM</v>
          </cell>
          <cell r="H1072">
            <v>90</v>
          </cell>
          <cell r="I1072">
            <v>7500</v>
          </cell>
        </row>
        <row r="1073">
          <cell r="A1073">
            <v>44562</v>
          </cell>
          <cell r="B1073" t="str">
            <v>Jithesh Vijayakumar</v>
          </cell>
          <cell r="E1073" t="str">
            <v>HHTT</v>
          </cell>
          <cell r="F1073" t="str">
            <v>AM</v>
          </cell>
          <cell r="H1073">
            <v>95</v>
          </cell>
          <cell r="I1073">
            <v>7500</v>
          </cell>
        </row>
        <row r="1074">
          <cell r="A1074">
            <v>44562</v>
          </cell>
          <cell r="B1074" t="str">
            <v>Muhammad Nauman Khan</v>
          </cell>
          <cell r="E1074" t="str">
            <v>HHTT</v>
          </cell>
          <cell r="F1074" t="str">
            <v>AM</v>
          </cell>
          <cell r="H1074">
            <v>120</v>
          </cell>
          <cell r="I1074">
            <v>15000</v>
          </cell>
        </row>
        <row r="1075">
          <cell r="A1075">
            <v>44562</v>
          </cell>
          <cell r="B1075" t="str">
            <v>Mushahid Hussain Syed</v>
          </cell>
          <cell r="E1075" t="str">
            <v>HHTT</v>
          </cell>
          <cell r="F1075" t="str">
            <v>AM</v>
          </cell>
          <cell r="H1075">
            <v>90</v>
          </cell>
          <cell r="I1075">
            <v>11000</v>
          </cell>
        </row>
        <row r="1076">
          <cell r="A1076">
            <v>44562</v>
          </cell>
          <cell r="B1076" t="str">
            <v>Osama ElWawi</v>
          </cell>
          <cell r="E1076" t="str">
            <v>HHTT</v>
          </cell>
          <cell r="F1076" t="str">
            <v>AM</v>
          </cell>
          <cell r="H1076">
            <v>145</v>
          </cell>
          <cell r="I1076">
            <v>15000</v>
          </cell>
        </row>
        <row r="1077">
          <cell r="A1077">
            <v>44562</v>
          </cell>
          <cell r="B1077" t="str">
            <v>Ramez Al Alami</v>
          </cell>
          <cell r="E1077" t="str">
            <v>HHTT</v>
          </cell>
          <cell r="F1077" t="str">
            <v>AM</v>
          </cell>
          <cell r="H1077">
            <v>145</v>
          </cell>
          <cell r="I1077">
            <v>15000</v>
          </cell>
        </row>
        <row r="1078">
          <cell r="A1078">
            <v>44562</v>
          </cell>
          <cell r="B1078" t="str">
            <v>Ramy Abdel Fattah</v>
          </cell>
          <cell r="E1078" t="str">
            <v>HHTT</v>
          </cell>
          <cell r="F1078" t="str">
            <v>AM</v>
          </cell>
          <cell r="H1078">
            <v>115</v>
          </cell>
          <cell r="I1078">
            <v>12000</v>
          </cell>
        </row>
        <row r="1079">
          <cell r="A1079">
            <v>44562</v>
          </cell>
          <cell r="B1079" t="str">
            <v>Hamzah Nofal</v>
          </cell>
          <cell r="E1079" t="str">
            <v>HUNT</v>
          </cell>
          <cell r="F1079" t="str">
            <v>D</v>
          </cell>
          <cell r="H1079">
            <v>600</v>
          </cell>
          <cell r="I1079">
            <v>85000</v>
          </cell>
        </row>
        <row r="1080">
          <cell r="A1080">
            <v>44562</v>
          </cell>
          <cell r="B1080" t="str">
            <v>Mohamed Kishk</v>
          </cell>
          <cell r="E1080" t="str">
            <v>HUNT</v>
          </cell>
          <cell r="F1080" t="str">
            <v>AM</v>
          </cell>
          <cell r="H1080">
            <v>100</v>
          </cell>
          <cell r="I1080">
            <v>13000</v>
          </cell>
        </row>
        <row r="1081">
          <cell r="A1081">
            <v>44562</v>
          </cell>
          <cell r="B1081" t="str">
            <v>Vineeth Augustine</v>
          </cell>
          <cell r="E1081" t="str">
            <v>HUNT</v>
          </cell>
          <cell r="F1081" t="str">
            <v>AM</v>
          </cell>
          <cell r="H1081">
            <v>100</v>
          </cell>
          <cell r="I1081">
            <v>13000</v>
          </cell>
        </row>
        <row r="1082">
          <cell r="A1082">
            <v>44562</v>
          </cell>
          <cell r="B1082" t="str">
            <v>Iqbal Hussain</v>
          </cell>
          <cell r="E1082" t="str">
            <v>HUNT</v>
          </cell>
          <cell r="F1082" t="str">
            <v>AM</v>
          </cell>
          <cell r="H1082">
            <v>75</v>
          </cell>
          <cell r="I1082">
            <v>15500</v>
          </cell>
        </row>
        <row r="1083">
          <cell r="A1083">
            <v>44562</v>
          </cell>
          <cell r="B1083" t="str">
            <v>Khaleel Farooki</v>
          </cell>
          <cell r="E1083" t="str">
            <v>HUNT</v>
          </cell>
          <cell r="F1083" t="str">
            <v>AM</v>
          </cell>
          <cell r="H1083">
            <v>50</v>
          </cell>
          <cell r="I1083">
            <v>7500</v>
          </cell>
        </row>
        <row r="1084">
          <cell r="A1084">
            <v>44562</v>
          </cell>
          <cell r="B1084" t="str">
            <v>Muhammad Ismail</v>
          </cell>
          <cell r="E1084" t="str">
            <v>HUNT</v>
          </cell>
          <cell r="F1084" t="str">
            <v>AM</v>
          </cell>
          <cell r="H1084">
            <v>100</v>
          </cell>
          <cell r="I1084">
            <v>13000</v>
          </cell>
        </row>
        <row r="1085">
          <cell r="A1085">
            <v>44562</v>
          </cell>
          <cell r="B1085" t="str">
            <v>Mushtaq Ahamad</v>
          </cell>
          <cell r="E1085" t="str">
            <v>HUNT</v>
          </cell>
          <cell r="F1085" t="str">
            <v>AM</v>
          </cell>
          <cell r="H1085">
            <v>75</v>
          </cell>
          <cell r="I1085">
            <v>10000</v>
          </cell>
        </row>
        <row r="1086">
          <cell r="A1086">
            <v>44562</v>
          </cell>
          <cell r="B1086" t="str">
            <v>Nasir Khan</v>
          </cell>
          <cell r="E1086" t="str">
            <v>HUNT</v>
          </cell>
          <cell r="F1086" t="str">
            <v>AM</v>
          </cell>
          <cell r="H1086">
            <v>35</v>
          </cell>
          <cell r="I1086">
            <v>5000</v>
          </cell>
        </row>
        <row r="1087">
          <cell r="A1087">
            <v>44562</v>
          </cell>
          <cell r="B1087" t="str">
            <v>Shiraz Niazi</v>
          </cell>
          <cell r="E1087" t="str">
            <v>HUNT</v>
          </cell>
          <cell r="F1087" t="str">
            <v>AM</v>
          </cell>
          <cell r="H1087">
            <v>75</v>
          </cell>
          <cell r="I1087">
            <v>10000</v>
          </cell>
        </row>
        <row r="1088">
          <cell r="A1088">
            <v>44562</v>
          </cell>
          <cell r="B1088" t="str">
            <v>Wasim Raja</v>
          </cell>
          <cell r="E1088" t="str">
            <v>HUNT</v>
          </cell>
          <cell r="F1088" t="str">
            <v>AM</v>
          </cell>
          <cell r="H1088">
            <v>75</v>
          </cell>
          <cell r="I1088">
            <v>10000</v>
          </cell>
        </row>
        <row r="1089">
          <cell r="A1089">
            <v>44562</v>
          </cell>
          <cell r="B1089" t="str">
            <v>Almas Zaheer</v>
          </cell>
          <cell r="E1089" t="str">
            <v>HUNT</v>
          </cell>
          <cell r="F1089" t="str">
            <v>AM</v>
          </cell>
          <cell r="H1089">
            <v>50</v>
          </cell>
          <cell r="I1089">
            <v>10000</v>
          </cell>
        </row>
        <row r="1090">
          <cell r="A1090">
            <v>44562</v>
          </cell>
          <cell r="B1090" t="str">
            <v>Hany Jawee</v>
          </cell>
          <cell r="E1090" t="str">
            <v>TME</v>
          </cell>
          <cell r="F1090" t="str">
            <v>D</v>
          </cell>
          <cell r="H1090">
            <v>1453.32</v>
          </cell>
          <cell r="I1090">
            <v>160000</v>
          </cell>
        </row>
        <row r="1091">
          <cell r="A1091">
            <v>44562</v>
          </cell>
          <cell r="B1091" t="str">
            <v>Ahmad Ozdamir</v>
          </cell>
          <cell r="E1091" t="str">
            <v>TME</v>
          </cell>
          <cell r="F1091" t="str">
            <v>AM</v>
          </cell>
          <cell r="H1091">
            <v>92.585098988650884</v>
          </cell>
          <cell r="I1091">
            <v>10771.365130042106</v>
          </cell>
        </row>
        <row r="1092">
          <cell r="A1092">
            <v>44562</v>
          </cell>
          <cell r="B1092" t="str">
            <v>Ahmed AlShehhi</v>
          </cell>
          <cell r="E1092" t="str">
            <v>TME</v>
          </cell>
          <cell r="F1092" t="str">
            <v>AM</v>
          </cell>
          <cell r="H1092">
            <v>72.400000000000006</v>
          </cell>
          <cell r="I1092">
            <v>9486.657693572397</v>
          </cell>
        </row>
        <row r="1093">
          <cell r="A1093">
            <v>44562</v>
          </cell>
          <cell r="B1093" t="str">
            <v>Amjad Ilwan</v>
          </cell>
          <cell r="E1093" t="str">
            <v>TME</v>
          </cell>
          <cell r="F1093" t="str">
            <v>AM</v>
          </cell>
          <cell r="H1093">
            <v>92.4</v>
          </cell>
          <cell r="I1093">
            <v>10771.365130042106</v>
          </cell>
        </row>
        <row r="1094">
          <cell r="A1094">
            <v>44562</v>
          </cell>
          <cell r="B1094" t="str">
            <v>Anastasia Maltseva</v>
          </cell>
          <cell r="E1094" t="str">
            <v>TME</v>
          </cell>
          <cell r="F1094" t="str">
            <v>AM</v>
          </cell>
          <cell r="H1094">
            <v>72.400000000000006</v>
          </cell>
          <cell r="I1094">
            <v>9486.657693572397</v>
          </cell>
        </row>
        <row r="1095">
          <cell r="A1095">
            <v>44562</v>
          </cell>
          <cell r="B1095" t="str">
            <v>Buhari Buhari</v>
          </cell>
          <cell r="E1095" t="str">
            <v>TME</v>
          </cell>
          <cell r="F1095" t="str">
            <v>AM</v>
          </cell>
          <cell r="H1095">
            <v>72.400000000000006</v>
          </cell>
          <cell r="I1095">
            <v>9486.657693572397</v>
          </cell>
        </row>
        <row r="1096">
          <cell r="A1096">
            <v>44562</v>
          </cell>
          <cell r="B1096" t="str">
            <v>Ehab Hajou</v>
          </cell>
          <cell r="E1096" t="str">
            <v>TME</v>
          </cell>
          <cell r="F1096" t="str">
            <v>AM</v>
          </cell>
          <cell r="H1096">
            <v>108.4</v>
          </cell>
          <cell r="I1096">
            <v>17848.516621979499</v>
          </cell>
        </row>
        <row r="1097">
          <cell r="A1097">
            <v>44562</v>
          </cell>
          <cell r="B1097" t="str">
            <v>Fadi Saleh</v>
          </cell>
          <cell r="E1097" t="str">
            <v>TME</v>
          </cell>
          <cell r="F1097" t="str">
            <v>AM</v>
          </cell>
          <cell r="H1097">
            <v>108.4</v>
          </cell>
          <cell r="I1097">
            <v>14848.516621979516</v>
          </cell>
        </row>
        <row r="1098">
          <cell r="A1098">
            <v>44562</v>
          </cell>
          <cell r="B1098" t="str">
            <v>Farha Hameed</v>
          </cell>
          <cell r="E1098" t="str">
            <v>TME</v>
          </cell>
          <cell r="F1098" t="str">
            <v>AM</v>
          </cell>
          <cell r="H1098">
            <v>92.4</v>
          </cell>
          <cell r="I1098">
            <v>10771.365130042106</v>
          </cell>
        </row>
        <row r="1099">
          <cell r="A1099">
            <v>44562</v>
          </cell>
          <cell r="B1099" t="str">
            <v>Jeevantha Ranasinghe</v>
          </cell>
          <cell r="E1099" t="str">
            <v>TME</v>
          </cell>
          <cell r="F1099" t="str">
            <v>AM</v>
          </cell>
          <cell r="H1099">
            <v>108.4</v>
          </cell>
          <cell r="I1099">
            <v>14848.516621979516</v>
          </cell>
        </row>
        <row r="1100">
          <cell r="A1100">
            <v>44562</v>
          </cell>
          <cell r="B1100" t="str">
            <v>Khalid Mohammed</v>
          </cell>
          <cell r="E1100" t="str">
            <v>TME</v>
          </cell>
          <cell r="F1100" t="str">
            <v>AM</v>
          </cell>
          <cell r="H1100">
            <v>362.83174392889299</v>
          </cell>
          <cell r="I1100">
            <v>14848.516621979516</v>
          </cell>
        </row>
        <row r="1101">
          <cell r="A1101">
            <v>44562</v>
          </cell>
          <cell r="B1101" t="str">
            <v>Sara Alblooshi</v>
          </cell>
          <cell r="E1101" t="str">
            <v>TME</v>
          </cell>
          <cell r="F1101" t="str">
            <v>AM</v>
          </cell>
          <cell r="H1101">
            <v>53</v>
          </cell>
          <cell r="I1101">
            <v>4134.6576935723997</v>
          </cell>
        </row>
        <row r="1102">
          <cell r="A1102">
            <v>44562</v>
          </cell>
          <cell r="B1102" t="str">
            <v>Suleiman Wanni</v>
          </cell>
          <cell r="E1102" t="str">
            <v>TME</v>
          </cell>
          <cell r="F1102" t="str">
            <v>AM</v>
          </cell>
          <cell r="H1102">
            <v>108.4</v>
          </cell>
          <cell r="I1102">
            <v>17848.516621979499</v>
          </cell>
        </row>
        <row r="1103">
          <cell r="A1103">
            <v>44562</v>
          </cell>
          <cell r="B1103" t="str">
            <v>Waseem Suhaf</v>
          </cell>
          <cell r="E1103" t="str">
            <v>TME</v>
          </cell>
          <cell r="F1103" t="str">
            <v>AM</v>
          </cell>
          <cell r="H1103">
            <v>108.4</v>
          </cell>
          <cell r="I1103">
            <v>14848.516621979516</v>
          </cell>
        </row>
        <row r="1104">
          <cell r="A1104">
            <v>44562</v>
          </cell>
          <cell r="B1104" t="str">
            <v>Imran Malik</v>
          </cell>
          <cell r="E1104" t="str">
            <v>RCOGM</v>
          </cell>
          <cell r="F1104" t="str">
            <v>D</v>
          </cell>
          <cell r="H1104">
            <v>1909</v>
          </cell>
          <cell r="I1104">
            <v>130000</v>
          </cell>
        </row>
        <row r="1105">
          <cell r="A1105">
            <v>44562</v>
          </cell>
          <cell r="B1105" t="str">
            <v>Ali Alzarooni</v>
          </cell>
          <cell r="E1105" t="str">
            <v>RCOGM</v>
          </cell>
          <cell r="F1105" t="str">
            <v>AM</v>
          </cell>
          <cell r="H1105">
            <v>158</v>
          </cell>
          <cell r="I1105">
            <v>8950</v>
          </cell>
        </row>
        <row r="1106">
          <cell r="A1106">
            <v>44562</v>
          </cell>
          <cell r="B1106" t="str">
            <v>Ali Shahin</v>
          </cell>
          <cell r="E1106" t="str">
            <v>RCOGM</v>
          </cell>
          <cell r="F1106" t="str">
            <v>AM</v>
          </cell>
          <cell r="H1106">
            <v>158</v>
          </cell>
          <cell r="I1106">
            <v>14800</v>
          </cell>
        </row>
        <row r="1107">
          <cell r="A1107">
            <v>44562</v>
          </cell>
          <cell r="B1107" t="str">
            <v>Ayaz Zargar</v>
          </cell>
          <cell r="E1107" t="str">
            <v>RCOGM</v>
          </cell>
          <cell r="F1107" t="str">
            <v>AM</v>
          </cell>
          <cell r="H1107">
            <v>158</v>
          </cell>
          <cell r="I1107">
            <v>8950</v>
          </cell>
        </row>
        <row r="1108">
          <cell r="A1108">
            <v>44562</v>
          </cell>
          <cell r="B1108" t="str">
            <v>Danish Shabir</v>
          </cell>
          <cell r="E1108" t="str">
            <v>RCOGM</v>
          </cell>
          <cell r="F1108" t="str">
            <v>AM</v>
          </cell>
          <cell r="H1108">
            <v>144</v>
          </cell>
          <cell r="I1108">
            <v>8950</v>
          </cell>
        </row>
        <row r="1109">
          <cell r="A1109">
            <v>44562</v>
          </cell>
          <cell r="B1109" t="str">
            <v>Ammar Aladily</v>
          </cell>
          <cell r="E1109" t="str">
            <v>RCOGM</v>
          </cell>
          <cell r="F1109" t="str">
            <v>AM</v>
          </cell>
          <cell r="H1109">
            <v>185</v>
          </cell>
          <cell r="I1109">
            <v>14800</v>
          </cell>
        </row>
        <row r="1110">
          <cell r="A1110">
            <v>44562</v>
          </cell>
          <cell r="B1110" t="str">
            <v>Mohd Sheikh Salem</v>
          </cell>
          <cell r="E1110" t="str">
            <v>RCOGM</v>
          </cell>
          <cell r="F1110" t="str">
            <v>AM</v>
          </cell>
          <cell r="H1110">
            <v>158</v>
          </cell>
          <cell r="I1110">
            <v>14800</v>
          </cell>
        </row>
        <row r="1111">
          <cell r="A1111">
            <v>44562</v>
          </cell>
          <cell r="B1111" t="str">
            <v>Rima Al Safadi</v>
          </cell>
          <cell r="E1111" t="str">
            <v>RCOGM</v>
          </cell>
          <cell r="F1111" t="str">
            <v>AM</v>
          </cell>
          <cell r="H1111">
            <v>158</v>
          </cell>
          <cell r="I1111">
            <v>8950</v>
          </cell>
        </row>
        <row r="1112">
          <cell r="A1112">
            <v>44562</v>
          </cell>
          <cell r="B1112" t="str">
            <v>Sana Shaikh</v>
          </cell>
          <cell r="E1112" t="str">
            <v>RCOGM</v>
          </cell>
          <cell r="F1112" t="str">
            <v>AM</v>
          </cell>
          <cell r="H1112">
            <v>158</v>
          </cell>
          <cell r="I1112">
            <v>8950</v>
          </cell>
        </row>
        <row r="1113">
          <cell r="A1113">
            <v>44562</v>
          </cell>
          <cell r="B1113" t="str">
            <v>Shabbir Lacewala</v>
          </cell>
          <cell r="E1113" t="str">
            <v>RCOGM</v>
          </cell>
          <cell r="F1113" t="str">
            <v>AM</v>
          </cell>
          <cell r="H1113">
            <v>158</v>
          </cell>
          <cell r="I1113">
            <v>14000</v>
          </cell>
        </row>
        <row r="1114">
          <cell r="A1114">
            <v>44562</v>
          </cell>
          <cell r="B1114" t="str">
            <v>Shadab Sheikh</v>
          </cell>
          <cell r="E1114" t="str">
            <v>RCOGM</v>
          </cell>
          <cell r="F1114" t="str">
            <v>AM</v>
          </cell>
          <cell r="H1114">
            <v>158</v>
          </cell>
          <cell r="I1114">
            <v>8950</v>
          </cell>
        </row>
        <row r="1115">
          <cell r="A1115">
            <v>44562</v>
          </cell>
          <cell r="B1115" t="str">
            <v>Vandana Dubey</v>
          </cell>
          <cell r="E1115" t="str">
            <v>RCOGM</v>
          </cell>
          <cell r="F1115" t="str">
            <v>AM</v>
          </cell>
          <cell r="H1115">
            <v>158</v>
          </cell>
          <cell r="I1115">
            <v>8950</v>
          </cell>
        </row>
        <row r="1116">
          <cell r="A1116">
            <v>44562</v>
          </cell>
          <cell r="B1116" t="str">
            <v>Waseem Choudhary</v>
          </cell>
          <cell r="E1116" t="str">
            <v>RCOGM</v>
          </cell>
          <cell r="F1116" t="str">
            <v>AM</v>
          </cell>
          <cell r="H1116">
            <v>158</v>
          </cell>
          <cell r="I1116">
            <v>8950</v>
          </cell>
        </row>
        <row r="1117">
          <cell r="A1117">
            <v>44593</v>
          </cell>
          <cell r="B1117" t="str">
            <v>Mohamad Amer Sibai</v>
          </cell>
          <cell r="E1117" t="str">
            <v>DXB</v>
          </cell>
          <cell r="F1117" t="str">
            <v>D</v>
          </cell>
          <cell r="H1117">
            <v>2000</v>
          </cell>
          <cell r="I1117">
            <v>150000</v>
          </cell>
        </row>
        <row r="1118">
          <cell r="A1118">
            <v>44593</v>
          </cell>
          <cell r="B1118" t="str">
            <v>Mohamed Mady</v>
          </cell>
          <cell r="E1118" t="str">
            <v>DXB</v>
          </cell>
          <cell r="F1118" t="str">
            <v>AM</v>
          </cell>
          <cell r="H1118">
            <v>200</v>
          </cell>
          <cell r="I1118">
            <v>20000</v>
          </cell>
        </row>
        <row r="1119">
          <cell r="A1119">
            <v>44593</v>
          </cell>
          <cell r="B1119" t="str">
            <v>Ramzi Gholmieh</v>
          </cell>
          <cell r="E1119" t="str">
            <v>DXB</v>
          </cell>
          <cell r="F1119" t="str">
            <v>AM</v>
          </cell>
          <cell r="H1119">
            <v>500</v>
          </cell>
          <cell r="I1119">
            <v>50000</v>
          </cell>
        </row>
        <row r="1120">
          <cell r="A1120">
            <v>44593</v>
          </cell>
          <cell r="B1120" t="str">
            <v>Saleh Barami</v>
          </cell>
          <cell r="E1120" t="str">
            <v>DXB</v>
          </cell>
          <cell r="F1120" t="str">
            <v>AM</v>
          </cell>
          <cell r="H1120">
            <v>650</v>
          </cell>
          <cell r="I1120">
            <v>40000</v>
          </cell>
        </row>
        <row r="1121">
          <cell r="A1121">
            <v>44593</v>
          </cell>
          <cell r="B1121" t="str">
            <v>Talal Ahmed Ali Alsharhan</v>
          </cell>
          <cell r="E1121" t="str">
            <v>DXB</v>
          </cell>
          <cell r="F1121" t="str">
            <v>AM</v>
          </cell>
          <cell r="H1121">
            <v>650</v>
          </cell>
          <cell r="I1121">
            <v>40000</v>
          </cell>
        </row>
        <row r="1122">
          <cell r="A1122">
            <v>44593</v>
          </cell>
          <cell r="B1122" t="str">
            <v>Khaled Alawadi</v>
          </cell>
          <cell r="E1122" t="str">
            <v>F-NE</v>
          </cell>
          <cell r="F1122" t="str">
            <v>D</v>
          </cell>
          <cell r="H1122">
            <v>4000</v>
          </cell>
          <cell r="I1122">
            <v>100000</v>
          </cell>
        </row>
        <row r="1123">
          <cell r="A1123">
            <v>44593</v>
          </cell>
          <cell r="B1123" t="str">
            <v>Bader Al Shehhi</v>
          </cell>
          <cell r="E1123" t="str">
            <v>F-NE</v>
          </cell>
          <cell r="F1123" t="str">
            <v>AM</v>
          </cell>
          <cell r="H1123">
            <v>380</v>
          </cell>
          <cell r="I1123">
            <v>3500</v>
          </cell>
        </row>
        <row r="1124">
          <cell r="A1124">
            <v>44593</v>
          </cell>
          <cell r="B1124" t="str">
            <v>Majd Nairoukh</v>
          </cell>
          <cell r="E1124" t="str">
            <v>F-NE</v>
          </cell>
          <cell r="F1124" t="str">
            <v>AM</v>
          </cell>
          <cell r="H1124">
            <v>1570</v>
          </cell>
          <cell r="I1124">
            <v>81000</v>
          </cell>
        </row>
        <row r="1125">
          <cell r="A1125">
            <v>44593</v>
          </cell>
          <cell r="B1125" t="str">
            <v>Nader AlMustafa</v>
          </cell>
          <cell r="E1125" t="str">
            <v>F-NE</v>
          </cell>
          <cell r="F1125" t="str">
            <v>AM</v>
          </cell>
          <cell r="H1125">
            <v>200</v>
          </cell>
          <cell r="I1125">
            <v>8500</v>
          </cell>
        </row>
        <row r="1126">
          <cell r="A1126">
            <v>44593</v>
          </cell>
          <cell r="B1126" t="str">
            <v>Tariq AlAwadhi</v>
          </cell>
          <cell r="E1126" t="str">
            <v>F-NE</v>
          </cell>
          <cell r="F1126" t="str">
            <v>AM</v>
          </cell>
          <cell r="H1126">
            <v>150</v>
          </cell>
          <cell r="I1126">
            <v>4500</v>
          </cell>
        </row>
        <row r="1127">
          <cell r="A1127">
            <v>44593</v>
          </cell>
          <cell r="B1127" t="str">
            <v>Yousef Al Baloushi</v>
          </cell>
          <cell r="E1127" t="str">
            <v>F-NE</v>
          </cell>
          <cell r="F1127" t="str">
            <v>AM</v>
          </cell>
          <cell r="H1127">
            <v>1700</v>
          </cell>
          <cell r="I1127">
            <v>2500</v>
          </cell>
        </row>
        <row r="1128">
          <cell r="A1128">
            <v>44593</v>
          </cell>
          <cell r="B1128" t="str">
            <v>Khalid Karmastaji</v>
          </cell>
          <cell r="E1128" t="str">
            <v>KA-AUH</v>
          </cell>
          <cell r="F1128" t="str">
            <v>D</v>
          </cell>
          <cell r="H1128">
            <v>1000</v>
          </cell>
          <cell r="I1128">
            <v>121500</v>
          </cell>
        </row>
        <row r="1129">
          <cell r="A1129">
            <v>44593</v>
          </cell>
          <cell r="B1129" t="str">
            <v>Ammar Alqudsi</v>
          </cell>
          <cell r="E1129" t="str">
            <v>KA-AUH</v>
          </cell>
          <cell r="F1129" t="str">
            <v>AM</v>
          </cell>
          <cell r="H1129">
            <v>150</v>
          </cell>
          <cell r="I1129">
            <v>23000</v>
          </cell>
        </row>
        <row r="1130">
          <cell r="A1130">
            <v>44593</v>
          </cell>
          <cell r="B1130" t="str">
            <v>Osman Basuleman</v>
          </cell>
          <cell r="E1130" t="str">
            <v>KA-AUH</v>
          </cell>
          <cell r="F1130" t="str">
            <v>AM</v>
          </cell>
          <cell r="H1130">
            <v>200</v>
          </cell>
          <cell r="I1130">
            <v>21000</v>
          </cell>
        </row>
        <row r="1131">
          <cell r="A1131">
            <v>44593</v>
          </cell>
          <cell r="B1131" t="str">
            <v>Tarek Solh</v>
          </cell>
          <cell r="E1131" t="str">
            <v>KA-AUH</v>
          </cell>
          <cell r="F1131" t="str">
            <v>AM</v>
          </cell>
          <cell r="H1131">
            <v>200</v>
          </cell>
          <cell r="I1131">
            <v>20000</v>
          </cell>
        </row>
        <row r="1132">
          <cell r="A1132">
            <v>44593</v>
          </cell>
          <cell r="B1132" t="str">
            <v>Khamis Almakrani</v>
          </cell>
          <cell r="E1132" t="str">
            <v>KA-AUH</v>
          </cell>
          <cell r="F1132" t="str">
            <v>AM</v>
          </cell>
          <cell r="H1132">
            <v>130</v>
          </cell>
          <cell r="I1132">
            <v>17500</v>
          </cell>
        </row>
        <row r="1133">
          <cell r="A1133">
            <v>44593</v>
          </cell>
          <cell r="B1133" t="str">
            <v>Ahmed Almansoori</v>
          </cell>
          <cell r="E1133" t="str">
            <v>KA-AUH</v>
          </cell>
          <cell r="F1133" t="str">
            <v>AM</v>
          </cell>
          <cell r="H1133">
            <v>160</v>
          </cell>
          <cell r="I1133">
            <v>20000</v>
          </cell>
        </row>
        <row r="1134">
          <cell r="A1134">
            <v>44593</v>
          </cell>
          <cell r="B1134" t="str">
            <v>Khaled Alshamsi</v>
          </cell>
          <cell r="E1134" t="str">
            <v>KA-AUH</v>
          </cell>
          <cell r="F1134" t="str">
            <v>AM</v>
          </cell>
          <cell r="H1134">
            <v>160</v>
          </cell>
          <cell r="I1134">
            <v>20000</v>
          </cell>
        </row>
        <row r="1135">
          <cell r="A1135">
            <v>44593</v>
          </cell>
          <cell r="B1135" t="str">
            <v>Mazen Adem</v>
          </cell>
          <cell r="E1135" t="str">
            <v>KA</v>
          </cell>
          <cell r="F1135" t="str">
            <v>D</v>
          </cell>
          <cell r="H1135">
            <v>1000</v>
          </cell>
          <cell r="I1135">
            <v>121500</v>
          </cell>
        </row>
        <row r="1136">
          <cell r="A1136">
            <v>44593</v>
          </cell>
          <cell r="B1136" t="str">
            <v>Abdel Azim Sharabati</v>
          </cell>
          <cell r="E1136" t="str">
            <v>KA</v>
          </cell>
          <cell r="F1136" t="str">
            <v>AM</v>
          </cell>
          <cell r="H1136">
            <v>140</v>
          </cell>
          <cell r="I1136">
            <v>50000</v>
          </cell>
        </row>
        <row r="1137">
          <cell r="A1137">
            <v>44593</v>
          </cell>
          <cell r="B1137" t="str">
            <v>Abraham Cherian</v>
          </cell>
          <cell r="E1137" t="str">
            <v>KA</v>
          </cell>
          <cell r="F1137" t="str">
            <v>AM</v>
          </cell>
          <cell r="H1137">
            <v>220</v>
          </cell>
          <cell r="I1137">
            <v>18000</v>
          </cell>
        </row>
        <row r="1138">
          <cell r="A1138">
            <v>44593</v>
          </cell>
          <cell r="B1138" t="str">
            <v>Arjun Subaraman</v>
          </cell>
          <cell r="E1138" t="str">
            <v>KA</v>
          </cell>
          <cell r="F1138" t="str">
            <v>AM</v>
          </cell>
          <cell r="H1138">
            <v>230</v>
          </cell>
          <cell r="I1138">
            <v>15500</v>
          </cell>
        </row>
        <row r="1139">
          <cell r="A1139">
            <v>44593</v>
          </cell>
          <cell r="B1139" t="str">
            <v>Ghassan Fouany</v>
          </cell>
          <cell r="E1139" t="str">
            <v>KA</v>
          </cell>
          <cell r="F1139" t="str">
            <v>AM</v>
          </cell>
          <cell r="H1139">
            <v>230</v>
          </cell>
          <cell r="I1139">
            <v>18000</v>
          </cell>
        </row>
        <row r="1140">
          <cell r="A1140">
            <v>44593</v>
          </cell>
          <cell r="B1140" t="str">
            <v>Inayat Fazili</v>
          </cell>
          <cell r="E1140" t="str">
            <v>KA</v>
          </cell>
          <cell r="F1140" t="str">
            <v>AM</v>
          </cell>
          <cell r="H1140">
            <v>180</v>
          </cell>
          <cell r="I1140">
            <v>20000</v>
          </cell>
        </row>
        <row r="1141">
          <cell r="A1141">
            <v>44593</v>
          </cell>
          <cell r="B1141" t="str">
            <v>Mustafa Shalabi</v>
          </cell>
          <cell r="E1141" t="str">
            <v>FCR</v>
          </cell>
          <cell r="F1141" t="str">
            <v>D</v>
          </cell>
          <cell r="H1141">
            <v>1668</v>
          </cell>
          <cell r="I1141">
            <v>190000</v>
          </cell>
        </row>
        <row r="1142">
          <cell r="A1142">
            <v>44593</v>
          </cell>
          <cell r="B1142" t="str">
            <v>Eslam Hassan</v>
          </cell>
          <cell r="E1142" t="str">
            <v>FCR</v>
          </cell>
          <cell r="F1142" t="str">
            <v>AM</v>
          </cell>
          <cell r="H1142">
            <v>155</v>
          </cell>
          <cell r="I1142">
            <v>20115</v>
          </cell>
        </row>
        <row r="1143">
          <cell r="A1143">
            <v>44593</v>
          </cell>
          <cell r="B1143" t="str">
            <v>Mansi Trivedi</v>
          </cell>
          <cell r="E1143" t="str">
            <v>FCR</v>
          </cell>
          <cell r="F1143" t="str">
            <v>AM</v>
          </cell>
          <cell r="H1143">
            <v>115</v>
          </cell>
          <cell r="I1143">
            <v>12556</v>
          </cell>
        </row>
        <row r="1144">
          <cell r="A1144">
            <v>44593</v>
          </cell>
          <cell r="B1144" t="str">
            <v>Mohamad Labban</v>
          </cell>
          <cell r="E1144" t="str">
            <v>FCR</v>
          </cell>
          <cell r="F1144" t="str">
            <v>AM</v>
          </cell>
          <cell r="H1144">
            <v>175</v>
          </cell>
          <cell r="I1144">
            <v>23330</v>
          </cell>
        </row>
        <row r="1145">
          <cell r="A1145">
            <v>44593</v>
          </cell>
          <cell r="B1145" t="str">
            <v>Mohamed Mostafa</v>
          </cell>
          <cell r="E1145" t="str">
            <v>FCR</v>
          </cell>
          <cell r="F1145" t="str">
            <v>AM</v>
          </cell>
          <cell r="H1145">
            <v>115</v>
          </cell>
          <cell r="I1145">
            <v>20115</v>
          </cell>
        </row>
        <row r="1146">
          <cell r="A1146">
            <v>44593</v>
          </cell>
          <cell r="B1146" t="str">
            <v>Nadeem Rasheed</v>
          </cell>
          <cell r="E1146" t="str">
            <v>FCR</v>
          </cell>
          <cell r="F1146" t="str">
            <v>AM</v>
          </cell>
          <cell r="H1146">
            <v>165</v>
          </cell>
          <cell r="I1146">
            <v>20115</v>
          </cell>
        </row>
        <row r="1147">
          <cell r="A1147">
            <v>44593</v>
          </cell>
          <cell r="B1147" t="str">
            <v>Othman Hassan</v>
          </cell>
          <cell r="E1147" t="str">
            <v>FCR</v>
          </cell>
          <cell r="F1147" t="str">
            <v>AM</v>
          </cell>
          <cell r="H1147">
            <v>175</v>
          </cell>
          <cell r="I1147">
            <v>12556</v>
          </cell>
        </row>
        <row r="1148">
          <cell r="A1148">
            <v>44593</v>
          </cell>
          <cell r="B1148" t="str">
            <v>Ranjith Chandran</v>
          </cell>
          <cell r="E1148" t="str">
            <v>FCR</v>
          </cell>
          <cell r="F1148" t="str">
            <v>AM</v>
          </cell>
          <cell r="H1148">
            <v>115</v>
          </cell>
          <cell r="I1148">
            <v>12556</v>
          </cell>
        </row>
        <row r="1149">
          <cell r="A1149">
            <v>44593</v>
          </cell>
          <cell r="B1149" t="str">
            <v>Richard Chandy</v>
          </cell>
          <cell r="E1149" t="str">
            <v>FCR</v>
          </cell>
          <cell r="F1149" t="str">
            <v>AM</v>
          </cell>
          <cell r="H1149">
            <v>125</v>
          </cell>
          <cell r="I1149">
            <v>12556</v>
          </cell>
        </row>
        <row r="1150">
          <cell r="A1150">
            <v>44593</v>
          </cell>
          <cell r="B1150" t="str">
            <v>Rijith Menon</v>
          </cell>
          <cell r="E1150" t="str">
            <v>FCR</v>
          </cell>
          <cell r="F1150" t="str">
            <v>AM</v>
          </cell>
          <cell r="H1150">
            <v>205</v>
          </cell>
          <cell r="I1150">
            <v>20115</v>
          </cell>
        </row>
        <row r="1151">
          <cell r="A1151">
            <v>44593</v>
          </cell>
          <cell r="B1151" t="str">
            <v>Simon Williams</v>
          </cell>
          <cell r="E1151" t="str">
            <v>FCR</v>
          </cell>
          <cell r="F1151" t="str">
            <v>AM</v>
          </cell>
          <cell r="H1151">
            <v>208</v>
          </cell>
          <cell r="I1151">
            <v>23430</v>
          </cell>
        </row>
        <row r="1152">
          <cell r="A1152">
            <v>44593</v>
          </cell>
          <cell r="B1152" t="str">
            <v>Usman Zafar Sipra</v>
          </cell>
          <cell r="E1152" t="str">
            <v>FCR</v>
          </cell>
          <cell r="F1152" t="str">
            <v>AM</v>
          </cell>
          <cell r="H1152">
            <v>115</v>
          </cell>
          <cell r="I1152">
            <v>12556</v>
          </cell>
        </row>
        <row r="1153">
          <cell r="A1153">
            <v>44593</v>
          </cell>
          <cell r="B1153" t="str">
            <v>Maitha Bin Malek</v>
          </cell>
          <cell r="E1153" t="str">
            <v>HHTT</v>
          </cell>
          <cell r="F1153" t="str">
            <v>D</v>
          </cell>
          <cell r="H1153">
            <v>1227</v>
          </cell>
          <cell r="I1153">
            <v>135000</v>
          </cell>
        </row>
        <row r="1154">
          <cell r="A1154">
            <v>44593</v>
          </cell>
          <cell r="B1154" t="str">
            <v>Atef Kassem</v>
          </cell>
          <cell r="E1154" t="str">
            <v>HHTT</v>
          </cell>
          <cell r="F1154" t="str">
            <v>AM</v>
          </cell>
          <cell r="H1154">
            <v>120</v>
          </cell>
          <cell r="I1154">
            <v>13500</v>
          </cell>
        </row>
        <row r="1155">
          <cell r="A1155">
            <v>44593</v>
          </cell>
          <cell r="B1155" t="str">
            <v>Bashar Al Adilee</v>
          </cell>
          <cell r="E1155" t="str">
            <v>HHTT</v>
          </cell>
          <cell r="F1155" t="str">
            <v>AM</v>
          </cell>
          <cell r="H1155">
            <v>149</v>
          </cell>
          <cell r="I1155">
            <v>13000</v>
          </cell>
        </row>
        <row r="1156">
          <cell r="A1156">
            <v>44593</v>
          </cell>
          <cell r="B1156" t="str">
            <v>Favas Kurinhilayil</v>
          </cell>
          <cell r="E1156" t="str">
            <v>HHTT</v>
          </cell>
          <cell r="F1156" t="str">
            <v>AM</v>
          </cell>
          <cell r="H1156">
            <v>149</v>
          </cell>
          <cell r="I1156">
            <v>14000</v>
          </cell>
        </row>
        <row r="1157">
          <cell r="A1157">
            <v>44593</v>
          </cell>
          <cell r="B1157" t="str">
            <v>Feroz Shaikh</v>
          </cell>
          <cell r="E1157" t="str">
            <v>HHTT</v>
          </cell>
          <cell r="F1157" t="str">
            <v>AM</v>
          </cell>
          <cell r="H1157">
            <v>110</v>
          </cell>
          <cell r="I1157">
            <v>14000</v>
          </cell>
        </row>
        <row r="1158">
          <cell r="A1158">
            <v>44593</v>
          </cell>
          <cell r="B1158" t="str">
            <v>Hasa Alharthi</v>
          </cell>
          <cell r="E1158" t="str">
            <v>HHTT</v>
          </cell>
          <cell r="F1158" t="str">
            <v>AM</v>
          </cell>
          <cell r="H1158">
            <v>99</v>
          </cell>
          <cell r="I1158">
            <v>8500</v>
          </cell>
        </row>
        <row r="1159">
          <cell r="A1159">
            <v>44593</v>
          </cell>
          <cell r="B1159" t="str">
            <v>Jithesh Vijayakumar</v>
          </cell>
          <cell r="E1159" t="str">
            <v>HHTT</v>
          </cell>
          <cell r="F1159" t="str">
            <v>AM</v>
          </cell>
          <cell r="H1159">
            <v>105</v>
          </cell>
          <cell r="I1159">
            <v>8500</v>
          </cell>
        </row>
        <row r="1160">
          <cell r="A1160">
            <v>44593</v>
          </cell>
          <cell r="B1160" t="str">
            <v>Muhammad Nauman Khan</v>
          </cell>
          <cell r="E1160" t="str">
            <v>HHTT</v>
          </cell>
          <cell r="F1160" t="str">
            <v>AM</v>
          </cell>
          <cell r="H1160">
            <v>109</v>
          </cell>
          <cell r="I1160">
            <v>14000</v>
          </cell>
        </row>
        <row r="1161">
          <cell r="A1161">
            <v>44593</v>
          </cell>
          <cell r="B1161" t="str">
            <v>Mushahid Hussain Syed</v>
          </cell>
          <cell r="E1161" t="str">
            <v>HHTT</v>
          </cell>
          <cell r="F1161" t="str">
            <v>AM</v>
          </cell>
          <cell r="H1161">
            <v>99</v>
          </cell>
          <cell r="I1161">
            <v>8500</v>
          </cell>
        </row>
        <row r="1162">
          <cell r="A1162">
            <v>44593</v>
          </cell>
          <cell r="B1162" t="str">
            <v>Osama ElWawi</v>
          </cell>
          <cell r="E1162" t="str">
            <v>HHTT</v>
          </cell>
          <cell r="F1162" t="str">
            <v>AM</v>
          </cell>
          <cell r="H1162">
            <v>135</v>
          </cell>
          <cell r="I1162">
            <v>13000</v>
          </cell>
        </row>
        <row r="1163">
          <cell r="A1163">
            <v>44593</v>
          </cell>
          <cell r="B1163" t="str">
            <v>Ramez Al Alami</v>
          </cell>
          <cell r="E1163" t="str">
            <v>HHTT</v>
          </cell>
          <cell r="F1163" t="str">
            <v>AM</v>
          </cell>
          <cell r="H1163">
            <v>138</v>
          </cell>
          <cell r="I1163">
            <v>14000</v>
          </cell>
        </row>
        <row r="1164">
          <cell r="A1164">
            <v>44593</v>
          </cell>
          <cell r="B1164" t="str">
            <v>Ramy Abdel Fattah</v>
          </cell>
          <cell r="E1164" t="str">
            <v>HHTT</v>
          </cell>
          <cell r="F1164" t="str">
            <v>AM</v>
          </cell>
          <cell r="H1164">
            <v>135</v>
          </cell>
          <cell r="I1164">
            <v>14000</v>
          </cell>
        </row>
        <row r="1165">
          <cell r="A1165">
            <v>44593</v>
          </cell>
          <cell r="B1165" t="str">
            <v>Hamzah Nofal</v>
          </cell>
          <cell r="E1165" t="str">
            <v>HUNT</v>
          </cell>
          <cell r="F1165" t="str">
            <v>D</v>
          </cell>
          <cell r="H1165">
            <v>553.52112676056345</v>
          </cell>
          <cell r="I1165">
            <v>85000</v>
          </cell>
        </row>
        <row r="1166">
          <cell r="A1166">
            <v>44593</v>
          </cell>
          <cell r="B1166" t="str">
            <v>Mohamed Kishk</v>
          </cell>
          <cell r="E1166" t="str">
            <v>HUNT</v>
          </cell>
          <cell r="F1166" t="str">
            <v>AM</v>
          </cell>
          <cell r="H1166">
            <v>55</v>
          </cell>
          <cell r="I1166">
            <v>17500</v>
          </cell>
        </row>
        <row r="1167">
          <cell r="A1167">
            <v>44593</v>
          </cell>
          <cell r="B1167" t="str">
            <v>Vineeth Augustine</v>
          </cell>
          <cell r="E1167" t="str">
            <v>HUNT</v>
          </cell>
          <cell r="F1167" t="str">
            <v>AM</v>
          </cell>
          <cell r="H1167">
            <v>65</v>
          </cell>
          <cell r="I1167">
            <v>8500</v>
          </cell>
        </row>
        <row r="1168">
          <cell r="A1168">
            <v>44593</v>
          </cell>
          <cell r="B1168" t="str">
            <v>Iqbal Hussain</v>
          </cell>
          <cell r="E1168" t="str">
            <v>HUNT</v>
          </cell>
          <cell r="F1168" t="str">
            <v>AM</v>
          </cell>
          <cell r="H1168">
            <v>60</v>
          </cell>
          <cell r="I1168">
            <v>12500</v>
          </cell>
        </row>
        <row r="1169">
          <cell r="A1169">
            <v>44593</v>
          </cell>
          <cell r="B1169" t="str">
            <v>Khaleel Farooki</v>
          </cell>
          <cell r="E1169" t="str">
            <v>HUNT</v>
          </cell>
          <cell r="F1169" t="str">
            <v>AM</v>
          </cell>
          <cell r="H1169">
            <v>15</v>
          </cell>
          <cell r="I1169">
            <v>2000</v>
          </cell>
        </row>
        <row r="1170">
          <cell r="A1170">
            <v>44593</v>
          </cell>
          <cell r="B1170" t="str">
            <v>Muhammad Ismail</v>
          </cell>
          <cell r="E1170" t="str">
            <v>HUNT</v>
          </cell>
          <cell r="F1170" t="str">
            <v>AM</v>
          </cell>
          <cell r="H1170">
            <v>65</v>
          </cell>
          <cell r="I1170">
            <v>8500</v>
          </cell>
        </row>
        <row r="1171">
          <cell r="A1171">
            <v>44593</v>
          </cell>
          <cell r="B1171" t="str">
            <v>Mushtaq Ahamad</v>
          </cell>
          <cell r="E1171" t="str">
            <v>HUNT</v>
          </cell>
          <cell r="F1171" t="str">
            <v>AM</v>
          </cell>
          <cell r="H1171">
            <v>65</v>
          </cell>
          <cell r="I1171">
            <v>8500</v>
          </cell>
        </row>
        <row r="1172">
          <cell r="A1172">
            <v>44593</v>
          </cell>
          <cell r="B1172" t="str">
            <v>Nasir Khan</v>
          </cell>
          <cell r="E1172" t="str">
            <v>HUNT</v>
          </cell>
          <cell r="F1172" t="str">
            <v>AM</v>
          </cell>
          <cell r="H1172">
            <v>15</v>
          </cell>
          <cell r="I1172">
            <v>2000</v>
          </cell>
        </row>
        <row r="1173">
          <cell r="A1173">
            <v>44593</v>
          </cell>
          <cell r="B1173" t="str">
            <v>Shiraz Niazi</v>
          </cell>
          <cell r="E1173" t="str">
            <v>HUNT</v>
          </cell>
          <cell r="F1173" t="str">
            <v>AM</v>
          </cell>
          <cell r="H1173">
            <v>55</v>
          </cell>
          <cell r="I1173">
            <v>17500</v>
          </cell>
        </row>
        <row r="1174">
          <cell r="A1174">
            <v>44593</v>
          </cell>
          <cell r="B1174" t="str">
            <v>Wasim Raja</v>
          </cell>
          <cell r="E1174" t="str">
            <v>HUNT</v>
          </cell>
          <cell r="F1174" t="str">
            <v>AM</v>
          </cell>
          <cell r="H1174">
            <v>180</v>
          </cell>
          <cell r="I1174">
            <v>6000</v>
          </cell>
        </row>
        <row r="1175">
          <cell r="A1175">
            <v>44593</v>
          </cell>
          <cell r="B1175" t="str">
            <v>Almas Zaheer</v>
          </cell>
          <cell r="E1175" t="str">
            <v>HUNT</v>
          </cell>
          <cell r="F1175" t="str">
            <v>AM</v>
          </cell>
          <cell r="H1175">
            <v>65</v>
          </cell>
          <cell r="I1175">
            <v>8500</v>
          </cell>
        </row>
        <row r="1176">
          <cell r="A1176">
            <v>44593</v>
          </cell>
          <cell r="B1176" t="str">
            <v>Hany Jawee</v>
          </cell>
          <cell r="E1176" t="str">
            <v>TME</v>
          </cell>
          <cell r="F1176" t="str">
            <v>D</v>
          </cell>
          <cell r="H1176">
            <v>1341</v>
          </cell>
          <cell r="I1176">
            <v>160000</v>
          </cell>
        </row>
        <row r="1177">
          <cell r="A1177">
            <v>44593</v>
          </cell>
          <cell r="B1177" t="str">
            <v>Ahmad Ozdamir</v>
          </cell>
          <cell r="E1177" t="str">
            <v>TME</v>
          </cell>
          <cell r="F1177" t="str">
            <v>AM</v>
          </cell>
          <cell r="H1177">
            <v>92</v>
          </cell>
          <cell r="I1177">
            <v>6844</v>
          </cell>
        </row>
        <row r="1178">
          <cell r="A1178">
            <v>44593</v>
          </cell>
          <cell r="B1178" t="str">
            <v>Ahmed AlShehhi</v>
          </cell>
          <cell r="E1178" t="str">
            <v>TME</v>
          </cell>
          <cell r="F1178" t="str">
            <v>AM</v>
          </cell>
          <cell r="H1178">
            <v>62</v>
          </cell>
          <cell r="I1178">
            <v>4844</v>
          </cell>
        </row>
        <row r="1179">
          <cell r="A1179">
            <v>44593</v>
          </cell>
          <cell r="B1179" t="str">
            <v>Amjad Ilwan</v>
          </cell>
          <cell r="E1179" t="str">
            <v>TME</v>
          </cell>
          <cell r="F1179" t="str">
            <v>AM</v>
          </cell>
          <cell r="H1179">
            <v>92</v>
          </cell>
          <cell r="I1179">
            <v>6844</v>
          </cell>
        </row>
        <row r="1180">
          <cell r="A1180">
            <v>44593</v>
          </cell>
          <cell r="B1180" t="str">
            <v>Anastasia Maltseva</v>
          </cell>
          <cell r="E1180" t="str">
            <v>TME</v>
          </cell>
          <cell r="F1180" t="str">
            <v>AM</v>
          </cell>
          <cell r="H1180">
            <v>62</v>
          </cell>
          <cell r="I1180">
            <v>4904</v>
          </cell>
        </row>
        <row r="1181">
          <cell r="A1181">
            <v>44593</v>
          </cell>
          <cell r="B1181" t="str">
            <v>Buhari Buhari</v>
          </cell>
          <cell r="E1181" t="str">
            <v>TME</v>
          </cell>
          <cell r="F1181" t="str">
            <v>AM</v>
          </cell>
          <cell r="H1181">
            <v>62</v>
          </cell>
          <cell r="I1181">
            <v>4690</v>
          </cell>
        </row>
        <row r="1182">
          <cell r="A1182">
            <v>44593</v>
          </cell>
          <cell r="B1182" t="str">
            <v>Ehab Hajou</v>
          </cell>
          <cell r="E1182" t="str">
            <v>TME</v>
          </cell>
          <cell r="F1182" t="str">
            <v>AM</v>
          </cell>
          <cell r="H1182">
            <v>82</v>
          </cell>
          <cell r="I1182">
            <v>9844</v>
          </cell>
        </row>
        <row r="1183">
          <cell r="A1183">
            <v>44593</v>
          </cell>
          <cell r="B1183" t="str">
            <v>Fadi Saleh</v>
          </cell>
          <cell r="E1183" t="str">
            <v>TME</v>
          </cell>
          <cell r="F1183" t="str">
            <v>AM</v>
          </cell>
          <cell r="H1183">
            <v>118</v>
          </cell>
          <cell r="I1183">
            <v>7844</v>
          </cell>
        </row>
        <row r="1184">
          <cell r="A1184">
            <v>44593</v>
          </cell>
          <cell r="B1184" t="str">
            <v>Farha Hameed</v>
          </cell>
          <cell r="E1184" t="str">
            <v>TME</v>
          </cell>
          <cell r="F1184" t="str">
            <v>AM</v>
          </cell>
          <cell r="H1184">
            <v>121</v>
          </cell>
          <cell r="I1184">
            <v>5726</v>
          </cell>
        </row>
        <row r="1185">
          <cell r="A1185">
            <v>44593</v>
          </cell>
          <cell r="B1185" t="str">
            <v>Jeevantha Ranasinghe</v>
          </cell>
          <cell r="E1185" t="str">
            <v>TME</v>
          </cell>
          <cell r="F1185" t="str">
            <v>AM</v>
          </cell>
          <cell r="H1185">
            <v>118</v>
          </cell>
          <cell r="I1185">
            <v>6844</v>
          </cell>
        </row>
        <row r="1186">
          <cell r="A1186">
            <v>44593</v>
          </cell>
          <cell r="B1186" t="str">
            <v>Khalid Mohammed</v>
          </cell>
          <cell r="E1186" t="str">
            <v>TME</v>
          </cell>
          <cell r="F1186" t="str">
            <v>AM</v>
          </cell>
          <cell r="H1186">
            <v>170</v>
          </cell>
          <cell r="I1186">
            <v>6942</v>
          </cell>
        </row>
        <row r="1187">
          <cell r="A1187">
            <v>44593</v>
          </cell>
          <cell r="B1187" t="str">
            <v>Sara Alblooshi</v>
          </cell>
          <cell r="E1187" t="str">
            <v>TME</v>
          </cell>
          <cell r="F1187" t="str">
            <v>AM</v>
          </cell>
          <cell r="H1187">
            <v>72</v>
          </cell>
          <cell r="I1187">
            <v>3984</v>
          </cell>
        </row>
        <row r="1188">
          <cell r="A1188">
            <v>44593</v>
          </cell>
          <cell r="B1188" t="str">
            <v>Suleiman Wanni</v>
          </cell>
          <cell r="E1188" t="str">
            <v>TME</v>
          </cell>
          <cell r="F1188" t="str">
            <v>AM</v>
          </cell>
          <cell r="H1188">
            <v>170</v>
          </cell>
          <cell r="I1188">
            <v>80844</v>
          </cell>
        </row>
        <row r="1189">
          <cell r="A1189">
            <v>44593</v>
          </cell>
          <cell r="B1189" t="str">
            <v>Waseem Suhaf</v>
          </cell>
          <cell r="E1189" t="str">
            <v>TME</v>
          </cell>
          <cell r="F1189" t="str">
            <v>AM</v>
          </cell>
          <cell r="H1189">
            <v>118</v>
          </cell>
          <cell r="I1189">
            <v>9844</v>
          </cell>
        </row>
        <row r="1190">
          <cell r="A1190">
            <v>44593</v>
          </cell>
          <cell r="B1190" t="str">
            <v>Imran Malik</v>
          </cell>
          <cell r="E1190" t="str">
            <v>RCOGM</v>
          </cell>
          <cell r="F1190" t="str">
            <v>D</v>
          </cell>
          <cell r="H1190">
            <v>1340</v>
          </cell>
          <cell r="I1190">
            <v>130000</v>
          </cell>
        </row>
        <row r="1191">
          <cell r="A1191">
            <v>44593</v>
          </cell>
          <cell r="B1191" t="str">
            <v>Ali Alzarooni</v>
          </cell>
          <cell r="E1191" t="str">
            <v>RCOGM</v>
          </cell>
          <cell r="F1191" t="str">
            <v>AM</v>
          </cell>
          <cell r="H1191">
            <v>80</v>
          </cell>
          <cell r="I1191">
            <v>8000</v>
          </cell>
        </row>
        <row r="1192">
          <cell r="A1192">
            <v>44593</v>
          </cell>
          <cell r="B1192" t="str">
            <v>Ali Shahin</v>
          </cell>
          <cell r="E1192" t="str">
            <v>RCOGM</v>
          </cell>
          <cell r="F1192" t="str">
            <v>AM</v>
          </cell>
          <cell r="H1192">
            <v>120</v>
          </cell>
          <cell r="I1192">
            <v>12000</v>
          </cell>
        </row>
        <row r="1193">
          <cell r="A1193">
            <v>44593</v>
          </cell>
          <cell r="B1193" t="str">
            <v>Adnan Bashir</v>
          </cell>
          <cell r="E1193" t="str">
            <v>RCOGM</v>
          </cell>
          <cell r="F1193" t="str">
            <v>AM</v>
          </cell>
          <cell r="H1193">
            <v>60</v>
          </cell>
          <cell r="I1193">
            <v>8000</v>
          </cell>
        </row>
        <row r="1194">
          <cell r="A1194">
            <v>44593</v>
          </cell>
          <cell r="B1194" t="str">
            <v>Ayaz Zargar</v>
          </cell>
          <cell r="E1194" t="str">
            <v>RCOGM</v>
          </cell>
          <cell r="F1194" t="str">
            <v>AM</v>
          </cell>
          <cell r="H1194">
            <v>120</v>
          </cell>
          <cell r="I1194">
            <v>12000</v>
          </cell>
        </row>
        <row r="1195">
          <cell r="A1195">
            <v>44593</v>
          </cell>
          <cell r="B1195" t="str">
            <v>Danish Shabir</v>
          </cell>
          <cell r="E1195" t="str">
            <v>RCOGM</v>
          </cell>
          <cell r="F1195" t="str">
            <v>AM</v>
          </cell>
          <cell r="H1195">
            <v>120</v>
          </cell>
          <cell r="I1195">
            <v>10000</v>
          </cell>
        </row>
        <row r="1196">
          <cell r="A1196">
            <v>44593</v>
          </cell>
          <cell r="B1196" t="str">
            <v>Ammar Aladily</v>
          </cell>
          <cell r="E1196" t="str">
            <v>RCOGM</v>
          </cell>
          <cell r="F1196" t="str">
            <v>AM</v>
          </cell>
          <cell r="H1196">
            <v>120</v>
          </cell>
          <cell r="I1196">
            <v>12000</v>
          </cell>
        </row>
        <row r="1197">
          <cell r="A1197">
            <v>44593</v>
          </cell>
          <cell r="B1197" t="str">
            <v>Mohd Sheikh Salem</v>
          </cell>
          <cell r="E1197" t="str">
            <v>RCOGM</v>
          </cell>
          <cell r="F1197" t="str">
            <v>AM</v>
          </cell>
          <cell r="H1197">
            <v>120</v>
          </cell>
          <cell r="I1197">
            <v>12000</v>
          </cell>
        </row>
        <row r="1198">
          <cell r="A1198">
            <v>44593</v>
          </cell>
          <cell r="B1198" t="str">
            <v>Sana Shaikh</v>
          </cell>
          <cell r="E1198" t="str">
            <v>RCOGM</v>
          </cell>
          <cell r="F1198" t="str">
            <v>AM</v>
          </cell>
          <cell r="H1198">
            <v>120</v>
          </cell>
          <cell r="I1198">
            <v>10000</v>
          </cell>
        </row>
        <row r="1199">
          <cell r="A1199">
            <v>44593</v>
          </cell>
          <cell r="B1199" t="str">
            <v>Shabbir Lacewala</v>
          </cell>
          <cell r="E1199" t="str">
            <v>RCOGM</v>
          </cell>
          <cell r="F1199" t="str">
            <v>AM</v>
          </cell>
          <cell r="H1199">
            <v>120</v>
          </cell>
          <cell r="I1199">
            <v>12000</v>
          </cell>
        </row>
        <row r="1200">
          <cell r="A1200">
            <v>44593</v>
          </cell>
          <cell r="B1200" t="str">
            <v>Shadab Sheikh</v>
          </cell>
          <cell r="E1200" t="str">
            <v>RCOGM</v>
          </cell>
          <cell r="F1200" t="str">
            <v>AM</v>
          </cell>
          <cell r="H1200">
            <v>120</v>
          </cell>
          <cell r="I1200">
            <v>10000</v>
          </cell>
        </row>
        <row r="1201">
          <cell r="A1201">
            <v>44593</v>
          </cell>
          <cell r="B1201" t="str">
            <v>Vandana Dubey</v>
          </cell>
          <cell r="E1201" t="str">
            <v>RCOGM</v>
          </cell>
          <cell r="F1201" t="str">
            <v>AM</v>
          </cell>
          <cell r="H1201">
            <v>120</v>
          </cell>
          <cell r="I1201">
            <v>12000</v>
          </cell>
        </row>
        <row r="1202">
          <cell r="A1202">
            <v>44593</v>
          </cell>
          <cell r="B1202" t="str">
            <v>Waseem Choudhary</v>
          </cell>
          <cell r="E1202" t="str">
            <v>RCOGM</v>
          </cell>
          <cell r="F1202" t="str">
            <v>AM</v>
          </cell>
          <cell r="H1202">
            <v>120</v>
          </cell>
          <cell r="I1202">
            <v>12000</v>
          </cell>
        </row>
        <row r="1203">
          <cell r="A1203">
            <v>44621</v>
          </cell>
          <cell r="B1203" t="str">
            <v>Mustafa Shalabi</v>
          </cell>
          <cell r="E1203" t="str">
            <v>FCR</v>
          </cell>
          <cell r="F1203" t="str">
            <v>D</v>
          </cell>
          <cell r="H1203">
            <v>1918</v>
          </cell>
          <cell r="I1203">
            <v>180000</v>
          </cell>
        </row>
        <row r="1204">
          <cell r="A1204">
            <v>44621</v>
          </cell>
          <cell r="B1204" t="str">
            <v>Eslam Hassan</v>
          </cell>
          <cell r="E1204" t="str">
            <v>FCR</v>
          </cell>
          <cell r="F1204" t="str">
            <v>AM</v>
          </cell>
          <cell r="H1204">
            <v>325</v>
          </cell>
          <cell r="I1204">
            <v>5656</v>
          </cell>
        </row>
        <row r="1205">
          <cell r="A1205">
            <v>44621</v>
          </cell>
          <cell r="B1205" t="str">
            <v>Mohamad Labban</v>
          </cell>
          <cell r="E1205" t="str">
            <v>FCR</v>
          </cell>
          <cell r="F1205" t="str">
            <v>AM</v>
          </cell>
          <cell r="H1205">
            <v>325</v>
          </cell>
          <cell r="I1205">
            <v>5656</v>
          </cell>
        </row>
        <row r="1206">
          <cell r="A1206">
            <v>44621</v>
          </cell>
          <cell r="B1206" t="str">
            <v>Mohamed Mostafa</v>
          </cell>
          <cell r="E1206" t="str">
            <v>FCR</v>
          </cell>
          <cell r="F1206" t="str">
            <v>AM</v>
          </cell>
          <cell r="H1206">
            <v>76</v>
          </cell>
          <cell r="I1206">
            <v>39990</v>
          </cell>
        </row>
        <row r="1207">
          <cell r="A1207">
            <v>44621</v>
          </cell>
          <cell r="B1207" t="str">
            <v>Nadeem Rasheed</v>
          </cell>
          <cell r="E1207" t="str">
            <v>FCR</v>
          </cell>
          <cell r="F1207" t="str">
            <v>AM</v>
          </cell>
          <cell r="H1207">
            <v>325</v>
          </cell>
          <cell r="I1207">
            <v>7575</v>
          </cell>
        </row>
        <row r="1208">
          <cell r="A1208">
            <v>44621</v>
          </cell>
          <cell r="B1208" t="str">
            <v>Othman Hassan</v>
          </cell>
          <cell r="E1208" t="str">
            <v>FCR</v>
          </cell>
          <cell r="F1208" t="str">
            <v>AM</v>
          </cell>
          <cell r="H1208">
            <v>100</v>
          </cell>
          <cell r="I1208">
            <v>10142</v>
          </cell>
        </row>
        <row r="1209">
          <cell r="A1209">
            <v>44621</v>
          </cell>
          <cell r="B1209" t="str">
            <v>Ranjith Chandran</v>
          </cell>
          <cell r="E1209" t="str">
            <v>FCR</v>
          </cell>
          <cell r="F1209" t="str">
            <v>AM</v>
          </cell>
          <cell r="H1209">
            <v>213</v>
          </cell>
          <cell r="I1209">
            <v>5656</v>
          </cell>
        </row>
        <row r="1210">
          <cell r="A1210">
            <v>44621</v>
          </cell>
          <cell r="B1210" t="str">
            <v>Richard Chandy</v>
          </cell>
          <cell r="E1210" t="str">
            <v>FCR</v>
          </cell>
          <cell r="F1210" t="str">
            <v>AM</v>
          </cell>
          <cell r="H1210">
            <v>76</v>
          </cell>
          <cell r="I1210">
            <v>28880</v>
          </cell>
        </row>
        <row r="1211">
          <cell r="A1211">
            <v>44621</v>
          </cell>
          <cell r="B1211" t="str">
            <v>Rijith Menon</v>
          </cell>
          <cell r="E1211" t="str">
            <v>FCR</v>
          </cell>
          <cell r="F1211" t="str">
            <v>AM</v>
          </cell>
          <cell r="H1211">
            <v>325</v>
          </cell>
          <cell r="I1211">
            <v>7575</v>
          </cell>
        </row>
        <row r="1212">
          <cell r="A1212">
            <v>44621</v>
          </cell>
          <cell r="B1212" t="str">
            <v>Simon Williams</v>
          </cell>
          <cell r="E1212" t="str">
            <v>FCR</v>
          </cell>
          <cell r="F1212" t="str">
            <v>AM</v>
          </cell>
          <cell r="H1212">
            <v>76</v>
          </cell>
          <cell r="I1212">
            <v>39990</v>
          </cell>
        </row>
        <row r="1213">
          <cell r="A1213">
            <v>44621</v>
          </cell>
          <cell r="B1213" t="str">
            <v>Usman Zafar Sipra</v>
          </cell>
          <cell r="E1213" t="str">
            <v>FCR</v>
          </cell>
          <cell r="F1213" t="str">
            <v>AM</v>
          </cell>
          <cell r="H1213">
            <v>76</v>
          </cell>
          <cell r="I1213">
            <v>28880</v>
          </cell>
        </row>
        <row r="1214">
          <cell r="A1214">
            <v>44621</v>
          </cell>
          <cell r="B1214" t="str">
            <v>Maitha Bin Malek</v>
          </cell>
          <cell r="E1214" t="str">
            <v>HHTT</v>
          </cell>
          <cell r="F1214" t="str">
            <v>D</v>
          </cell>
          <cell r="H1214">
            <v>1267</v>
          </cell>
          <cell r="I1214">
            <v>145000</v>
          </cell>
        </row>
        <row r="1215">
          <cell r="A1215">
            <v>44621</v>
          </cell>
          <cell r="B1215" t="str">
            <v>Atef Kassem</v>
          </cell>
          <cell r="E1215" t="str">
            <v>HHTT</v>
          </cell>
          <cell r="F1215" t="str">
            <v>AM</v>
          </cell>
          <cell r="H1215">
            <v>120</v>
          </cell>
          <cell r="I1215">
            <v>16000</v>
          </cell>
        </row>
        <row r="1216">
          <cell r="A1216">
            <v>44621</v>
          </cell>
          <cell r="B1216" t="str">
            <v>Bashar Al Adilee</v>
          </cell>
          <cell r="E1216" t="str">
            <v>HHTT</v>
          </cell>
          <cell r="F1216" t="str">
            <v>AM</v>
          </cell>
          <cell r="H1216">
            <v>140</v>
          </cell>
          <cell r="I1216">
            <v>16000</v>
          </cell>
        </row>
        <row r="1217">
          <cell r="A1217">
            <v>44621</v>
          </cell>
          <cell r="B1217" t="str">
            <v>Favas Kurinhilayil</v>
          </cell>
          <cell r="E1217" t="str">
            <v>HHTT</v>
          </cell>
          <cell r="F1217" t="str">
            <v>AM</v>
          </cell>
          <cell r="H1217">
            <v>185</v>
          </cell>
          <cell r="I1217">
            <v>16000</v>
          </cell>
        </row>
        <row r="1218">
          <cell r="A1218">
            <v>44621</v>
          </cell>
          <cell r="B1218" t="str">
            <v>Feroz Shaikh</v>
          </cell>
          <cell r="E1218" t="str">
            <v>HHTT</v>
          </cell>
          <cell r="F1218" t="str">
            <v>AM</v>
          </cell>
          <cell r="H1218">
            <v>135</v>
          </cell>
          <cell r="I1218">
            <v>16000</v>
          </cell>
        </row>
        <row r="1219">
          <cell r="A1219">
            <v>44621</v>
          </cell>
          <cell r="B1219" t="str">
            <v>Hasa Alharthi</v>
          </cell>
          <cell r="E1219" t="str">
            <v>HHTT</v>
          </cell>
          <cell r="F1219" t="str">
            <v>AM</v>
          </cell>
          <cell r="H1219">
            <v>51</v>
          </cell>
          <cell r="I1219">
            <v>5000</v>
          </cell>
        </row>
        <row r="1220">
          <cell r="A1220">
            <v>44621</v>
          </cell>
          <cell r="B1220" t="str">
            <v>Muhammad Nauman Khan</v>
          </cell>
          <cell r="E1220" t="str">
            <v>HHTT</v>
          </cell>
          <cell r="F1220" t="str">
            <v>AM</v>
          </cell>
          <cell r="H1220">
            <v>120</v>
          </cell>
          <cell r="I1220">
            <v>24000</v>
          </cell>
        </row>
        <row r="1221">
          <cell r="A1221">
            <v>44621</v>
          </cell>
          <cell r="B1221" t="str">
            <v>Mushahid Hussain Syed</v>
          </cell>
          <cell r="E1221" t="str">
            <v>HHTT</v>
          </cell>
          <cell r="F1221" t="str">
            <v>AM</v>
          </cell>
          <cell r="H1221">
            <v>106</v>
          </cell>
          <cell r="I1221">
            <v>8500</v>
          </cell>
        </row>
        <row r="1222">
          <cell r="A1222">
            <v>44621</v>
          </cell>
          <cell r="B1222" t="str">
            <v>Osama ElWawi</v>
          </cell>
          <cell r="E1222" t="str">
            <v>HHTT</v>
          </cell>
          <cell r="F1222" t="str">
            <v>AM</v>
          </cell>
          <cell r="H1222">
            <v>140</v>
          </cell>
          <cell r="I1222">
            <v>13500</v>
          </cell>
        </row>
        <row r="1223">
          <cell r="A1223">
            <v>44621</v>
          </cell>
          <cell r="B1223" t="str">
            <v>Ramez Al Alami</v>
          </cell>
          <cell r="E1223" t="str">
            <v>HHTT</v>
          </cell>
          <cell r="F1223" t="str">
            <v>AM</v>
          </cell>
          <cell r="H1223">
            <v>140</v>
          </cell>
          <cell r="I1223">
            <v>16000</v>
          </cell>
        </row>
        <row r="1224">
          <cell r="A1224">
            <v>44621</v>
          </cell>
          <cell r="B1224" t="str">
            <v>Ramy Abdel Fattah</v>
          </cell>
          <cell r="E1224" t="str">
            <v>HHTT</v>
          </cell>
          <cell r="F1224" t="str">
            <v>AM</v>
          </cell>
          <cell r="H1224">
            <v>130</v>
          </cell>
          <cell r="I1224">
            <v>14000</v>
          </cell>
        </row>
        <row r="1225">
          <cell r="A1225">
            <v>44621</v>
          </cell>
          <cell r="B1225" t="str">
            <v>Hamzah Nofal</v>
          </cell>
          <cell r="E1225" t="str">
            <v>HUNT</v>
          </cell>
          <cell r="F1225" t="str">
            <v>D</v>
          </cell>
          <cell r="H1225">
            <v>704</v>
          </cell>
          <cell r="I1225">
            <v>85000</v>
          </cell>
        </row>
        <row r="1226">
          <cell r="A1226">
            <v>44621</v>
          </cell>
          <cell r="B1226" t="str">
            <v>Mohamed Kishk</v>
          </cell>
          <cell r="E1226" t="str">
            <v>HUNT</v>
          </cell>
          <cell r="F1226" t="str">
            <v>AM</v>
          </cell>
          <cell r="H1226">
            <v>85</v>
          </cell>
          <cell r="I1226">
            <v>7500</v>
          </cell>
        </row>
        <row r="1227">
          <cell r="A1227">
            <v>44621</v>
          </cell>
          <cell r="B1227" t="str">
            <v>Vineeth Augustine</v>
          </cell>
          <cell r="E1227" t="str">
            <v>HUNT</v>
          </cell>
          <cell r="F1227" t="str">
            <v>AM</v>
          </cell>
          <cell r="H1227">
            <v>85</v>
          </cell>
          <cell r="I1227">
            <v>7500</v>
          </cell>
        </row>
        <row r="1228">
          <cell r="A1228">
            <v>44621</v>
          </cell>
          <cell r="B1228" t="str">
            <v>Iqbal Hussain</v>
          </cell>
          <cell r="E1228" t="str">
            <v>HUNT</v>
          </cell>
          <cell r="F1228" t="str">
            <v>AM</v>
          </cell>
          <cell r="H1228">
            <v>30</v>
          </cell>
          <cell r="I1228">
            <v>19000</v>
          </cell>
        </row>
        <row r="1229">
          <cell r="A1229">
            <v>44621</v>
          </cell>
          <cell r="B1229" t="str">
            <v>Khaleel Farooki</v>
          </cell>
          <cell r="E1229" t="str">
            <v>HUNT</v>
          </cell>
          <cell r="F1229" t="str">
            <v>AM</v>
          </cell>
          <cell r="H1229">
            <v>10</v>
          </cell>
          <cell r="I1229">
            <v>1000</v>
          </cell>
        </row>
        <row r="1230">
          <cell r="A1230">
            <v>44621</v>
          </cell>
          <cell r="B1230" t="str">
            <v>Muhammad Ismail</v>
          </cell>
          <cell r="E1230" t="str">
            <v>HUNT</v>
          </cell>
          <cell r="F1230" t="str">
            <v>AM</v>
          </cell>
          <cell r="H1230">
            <v>85</v>
          </cell>
          <cell r="I1230">
            <v>9500</v>
          </cell>
        </row>
        <row r="1231">
          <cell r="A1231">
            <v>44621</v>
          </cell>
          <cell r="B1231" t="str">
            <v>Mushtaq Ahamad</v>
          </cell>
          <cell r="E1231" t="str">
            <v>HUNT</v>
          </cell>
          <cell r="F1231" t="str">
            <v>AM</v>
          </cell>
          <cell r="H1231">
            <v>130</v>
          </cell>
          <cell r="I1231">
            <v>13500</v>
          </cell>
        </row>
        <row r="1232">
          <cell r="A1232">
            <v>44621</v>
          </cell>
          <cell r="B1232" t="str">
            <v>Nasir Khan</v>
          </cell>
          <cell r="E1232" t="str">
            <v>HUNT</v>
          </cell>
          <cell r="F1232" t="str">
            <v>AM</v>
          </cell>
          <cell r="H1232">
            <v>35</v>
          </cell>
          <cell r="I1232">
            <v>4500</v>
          </cell>
        </row>
        <row r="1233">
          <cell r="A1233">
            <v>44621</v>
          </cell>
          <cell r="B1233" t="str">
            <v>Shiraz Niazi</v>
          </cell>
          <cell r="E1233" t="str">
            <v>HUNT</v>
          </cell>
          <cell r="F1233" t="str">
            <v>AM</v>
          </cell>
          <cell r="H1233">
            <v>85</v>
          </cell>
          <cell r="I1233">
            <v>7500</v>
          </cell>
        </row>
        <row r="1234">
          <cell r="A1234">
            <v>44621</v>
          </cell>
          <cell r="B1234" t="str">
            <v>Wasim Raja</v>
          </cell>
          <cell r="E1234" t="str">
            <v>HUNT</v>
          </cell>
          <cell r="F1234" t="str">
            <v>AM</v>
          </cell>
          <cell r="H1234">
            <v>130</v>
          </cell>
          <cell r="I1234">
            <v>13500</v>
          </cell>
        </row>
        <row r="1235">
          <cell r="A1235">
            <v>44621</v>
          </cell>
          <cell r="B1235" t="str">
            <v>Almas Zaheer</v>
          </cell>
          <cell r="E1235" t="str">
            <v>HUNT</v>
          </cell>
          <cell r="F1235" t="str">
            <v>AM</v>
          </cell>
          <cell r="H1235">
            <v>85</v>
          </cell>
          <cell r="I1235">
            <v>7500</v>
          </cell>
        </row>
        <row r="1236">
          <cell r="A1236">
            <v>44621</v>
          </cell>
          <cell r="B1236" t="str">
            <v>Hany Jawee</v>
          </cell>
          <cell r="E1236" t="str">
            <v>TME</v>
          </cell>
          <cell r="F1236" t="str">
            <v>D</v>
          </cell>
          <cell r="H1236">
            <v>1621</v>
          </cell>
          <cell r="I1236">
            <v>170000</v>
          </cell>
        </row>
        <row r="1237">
          <cell r="A1237">
            <v>44621</v>
          </cell>
          <cell r="B1237" t="str">
            <v>Ahmad Ozdamir</v>
          </cell>
          <cell r="E1237" t="str">
            <v>TME</v>
          </cell>
          <cell r="F1237" t="str">
            <v>AM</v>
          </cell>
          <cell r="H1237">
            <v>106</v>
          </cell>
          <cell r="I1237">
            <v>6069</v>
          </cell>
        </row>
        <row r="1238">
          <cell r="A1238">
            <v>44621</v>
          </cell>
          <cell r="B1238" t="str">
            <v>Ahmed AlShehhi</v>
          </cell>
          <cell r="E1238" t="str">
            <v>TME</v>
          </cell>
          <cell r="F1238" t="str">
            <v>AM</v>
          </cell>
          <cell r="H1238">
            <v>76</v>
          </cell>
          <cell r="I1238">
            <v>5069</v>
          </cell>
        </row>
        <row r="1239">
          <cell r="A1239">
            <v>44621</v>
          </cell>
          <cell r="B1239" t="str">
            <v>Amjad Ilwan</v>
          </cell>
          <cell r="E1239" t="str">
            <v>TME</v>
          </cell>
          <cell r="F1239" t="str">
            <v>AM</v>
          </cell>
          <cell r="H1239">
            <v>96</v>
          </cell>
          <cell r="I1239">
            <v>6069</v>
          </cell>
        </row>
        <row r="1240">
          <cell r="A1240">
            <v>44621</v>
          </cell>
          <cell r="B1240" t="str">
            <v>Anastasia Maltseva</v>
          </cell>
          <cell r="E1240" t="str">
            <v>TME</v>
          </cell>
          <cell r="F1240" t="str">
            <v>AM</v>
          </cell>
          <cell r="H1240">
            <v>76</v>
          </cell>
          <cell r="I1240">
            <v>5819</v>
          </cell>
        </row>
        <row r="1241">
          <cell r="A1241">
            <v>44621</v>
          </cell>
          <cell r="B1241" t="str">
            <v>Buhari Buhari</v>
          </cell>
          <cell r="E1241" t="str">
            <v>TME</v>
          </cell>
          <cell r="F1241" t="str">
            <v>AM</v>
          </cell>
          <cell r="H1241">
            <v>76</v>
          </cell>
          <cell r="I1241">
            <v>5633</v>
          </cell>
        </row>
        <row r="1242">
          <cell r="A1242">
            <v>44621</v>
          </cell>
          <cell r="B1242" t="str">
            <v>Ehab Hajou</v>
          </cell>
          <cell r="E1242" t="str">
            <v>TME</v>
          </cell>
          <cell r="F1242" t="str">
            <v>AM</v>
          </cell>
          <cell r="H1242">
            <v>96</v>
          </cell>
          <cell r="I1242">
            <v>7069</v>
          </cell>
        </row>
        <row r="1243">
          <cell r="A1243">
            <v>44621</v>
          </cell>
          <cell r="B1243" t="str">
            <v>Fadi Saleh</v>
          </cell>
          <cell r="E1243" t="str">
            <v>TME</v>
          </cell>
          <cell r="F1243" t="str">
            <v>AM</v>
          </cell>
          <cell r="H1243">
            <v>96</v>
          </cell>
          <cell r="I1243">
            <v>7069</v>
          </cell>
        </row>
        <row r="1244">
          <cell r="A1244">
            <v>44621</v>
          </cell>
          <cell r="B1244" t="str">
            <v>Farha Hameed</v>
          </cell>
          <cell r="E1244" t="str">
            <v>TME</v>
          </cell>
          <cell r="F1244" t="str">
            <v>AM</v>
          </cell>
          <cell r="H1244">
            <v>128</v>
          </cell>
          <cell r="I1244">
            <v>6069</v>
          </cell>
        </row>
        <row r="1245">
          <cell r="A1245">
            <v>44621</v>
          </cell>
          <cell r="B1245" t="str">
            <v>Jeevantha Ranasinghe</v>
          </cell>
          <cell r="E1245" t="str">
            <v>TME</v>
          </cell>
          <cell r="F1245" t="str">
            <v>AM</v>
          </cell>
          <cell r="H1245">
            <v>96</v>
          </cell>
          <cell r="I1245">
            <v>7841</v>
          </cell>
        </row>
        <row r="1246">
          <cell r="A1246">
            <v>44621</v>
          </cell>
          <cell r="B1246" t="str">
            <v>Khalid Mohammed</v>
          </cell>
          <cell r="E1246" t="str">
            <v>TME</v>
          </cell>
          <cell r="F1246" t="str">
            <v>AM</v>
          </cell>
          <cell r="H1246">
            <v>330</v>
          </cell>
          <cell r="I1246">
            <v>51069</v>
          </cell>
        </row>
        <row r="1247">
          <cell r="A1247">
            <v>44621</v>
          </cell>
          <cell r="B1247" t="str">
            <v>Sara Alblooshi</v>
          </cell>
          <cell r="E1247" t="str">
            <v>TME</v>
          </cell>
          <cell r="F1247" t="str">
            <v>AM</v>
          </cell>
          <cell r="H1247">
            <v>66</v>
          </cell>
          <cell r="I1247">
            <v>4081</v>
          </cell>
        </row>
        <row r="1248">
          <cell r="A1248">
            <v>44621</v>
          </cell>
          <cell r="B1248" t="str">
            <v>Suleiman Wanni</v>
          </cell>
          <cell r="E1248" t="str">
            <v>TME</v>
          </cell>
          <cell r="F1248" t="str">
            <v>AM</v>
          </cell>
          <cell r="H1248">
            <v>279</v>
          </cell>
          <cell r="I1248">
            <v>50069</v>
          </cell>
        </row>
        <row r="1249">
          <cell r="A1249">
            <v>44621</v>
          </cell>
          <cell r="B1249" t="str">
            <v>Waseem Suhaf</v>
          </cell>
          <cell r="E1249" t="str">
            <v>TME</v>
          </cell>
          <cell r="F1249" t="str">
            <v>AM</v>
          </cell>
          <cell r="H1249">
            <v>96</v>
          </cell>
          <cell r="I1249">
            <v>8069</v>
          </cell>
        </row>
        <row r="1250">
          <cell r="A1250">
            <v>44621</v>
          </cell>
          <cell r="B1250" t="str">
            <v>Imran Malik</v>
          </cell>
          <cell r="E1250" t="str">
            <v>RCOGM</v>
          </cell>
          <cell r="F1250" t="str">
            <v>D</v>
          </cell>
          <cell r="H1250">
            <v>1590</v>
          </cell>
          <cell r="I1250">
            <v>130000</v>
          </cell>
        </row>
        <row r="1251">
          <cell r="A1251">
            <v>44621</v>
          </cell>
          <cell r="B1251" t="str">
            <v>Ali Alzarooni</v>
          </cell>
          <cell r="E1251" t="str">
            <v>RCOGM</v>
          </cell>
          <cell r="F1251" t="str">
            <v>AM</v>
          </cell>
          <cell r="H1251">
            <v>120</v>
          </cell>
          <cell r="I1251">
            <v>12000</v>
          </cell>
        </row>
        <row r="1252">
          <cell r="A1252">
            <v>44621</v>
          </cell>
          <cell r="B1252" t="str">
            <v>Ali Shahin</v>
          </cell>
          <cell r="E1252" t="str">
            <v>RCOGM</v>
          </cell>
          <cell r="F1252" t="str">
            <v>AM</v>
          </cell>
          <cell r="H1252">
            <v>155</v>
          </cell>
          <cell r="I1252">
            <v>12000</v>
          </cell>
        </row>
        <row r="1253">
          <cell r="A1253">
            <v>44621</v>
          </cell>
          <cell r="B1253" t="str">
            <v>Adnan Bashir</v>
          </cell>
          <cell r="E1253" t="str">
            <v>RCOGM</v>
          </cell>
          <cell r="F1253" t="str">
            <v>AM</v>
          </cell>
          <cell r="H1253">
            <v>125</v>
          </cell>
          <cell r="I1253">
            <v>10000</v>
          </cell>
        </row>
        <row r="1254">
          <cell r="A1254">
            <v>44621</v>
          </cell>
          <cell r="B1254" t="str">
            <v>Ayaz Zargar</v>
          </cell>
          <cell r="E1254" t="str">
            <v>RCOGM</v>
          </cell>
          <cell r="F1254" t="str">
            <v>AM</v>
          </cell>
          <cell r="H1254">
            <v>120</v>
          </cell>
          <cell r="I1254">
            <v>12000</v>
          </cell>
        </row>
        <row r="1255">
          <cell r="A1255">
            <v>44621</v>
          </cell>
          <cell r="B1255" t="str">
            <v>Danish Shabir</v>
          </cell>
          <cell r="E1255" t="str">
            <v>RCOGM</v>
          </cell>
          <cell r="F1255" t="str">
            <v>AM</v>
          </cell>
          <cell r="H1255">
            <v>125</v>
          </cell>
          <cell r="I1255">
            <v>10000</v>
          </cell>
        </row>
        <row r="1256">
          <cell r="A1256">
            <v>44621</v>
          </cell>
          <cell r="B1256" t="str">
            <v>Ammar Aladily</v>
          </cell>
          <cell r="E1256" t="str">
            <v>RCOGM</v>
          </cell>
          <cell r="F1256" t="str">
            <v>AM</v>
          </cell>
          <cell r="H1256">
            <v>290</v>
          </cell>
          <cell r="I1256">
            <v>14000</v>
          </cell>
        </row>
        <row r="1257">
          <cell r="A1257">
            <v>44621</v>
          </cell>
          <cell r="B1257" t="str">
            <v>Mohd Sheikh Salem</v>
          </cell>
          <cell r="E1257" t="str">
            <v>RCOGM</v>
          </cell>
          <cell r="F1257" t="str">
            <v>AM</v>
          </cell>
          <cell r="H1257">
            <v>140</v>
          </cell>
          <cell r="I1257">
            <v>12000</v>
          </cell>
        </row>
        <row r="1258">
          <cell r="A1258">
            <v>44621</v>
          </cell>
          <cell r="B1258" t="str">
            <v>Sana Shaikh</v>
          </cell>
          <cell r="E1258" t="str">
            <v>RCOGM</v>
          </cell>
          <cell r="F1258" t="str">
            <v>AM</v>
          </cell>
          <cell r="H1258">
            <v>120</v>
          </cell>
          <cell r="I1258">
            <v>12000</v>
          </cell>
        </row>
        <row r="1259">
          <cell r="A1259">
            <v>44621</v>
          </cell>
          <cell r="B1259" t="str">
            <v>Shabbir Lacewala</v>
          </cell>
          <cell r="E1259" t="str">
            <v>RCOGM</v>
          </cell>
          <cell r="F1259" t="str">
            <v>AM</v>
          </cell>
          <cell r="H1259">
            <v>155</v>
          </cell>
          <cell r="I1259">
            <v>12000</v>
          </cell>
        </row>
        <row r="1260">
          <cell r="A1260">
            <v>44621</v>
          </cell>
          <cell r="B1260" t="str">
            <v>Shadab Sheikh</v>
          </cell>
          <cell r="E1260" t="str">
            <v>RCOGM</v>
          </cell>
          <cell r="F1260" t="str">
            <v>AM</v>
          </cell>
          <cell r="H1260">
            <v>120</v>
          </cell>
          <cell r="I1260">
            <v>12000</v>
          </cell>
        </row>
        <row r="1261">
          <cell r="A1261">
            <v>44621</v>
          </cell>
          <cell r="B1261" t="str">
            <v>Waseem Choudhary</v>
          </cell>
          <cell r="E1261" t="str">
            <v>RCOGM</v>
          </cell>
          <cell r="F1261" t="str">
            <v>AM</v>
          </cell>
          <cell r="H1261">
            <v>120</v>
          </cell>
          <cell r="I1261">
            <v>12000</v>
          </cell>
        </row>
        <row r="1262">
          <cell r="A1262">
            <v>44621</v>
          </cell>
          <cell r="B1262" t="str">
            <v>Mohamad Amer Sibai</v>
          </cell>
          <cell r="E1262" t="str">
            <v>DXB</v>
          </cell>
          <cell r="F1262" t="str">
            <v>D</v>
          </cell>
          <cell r="H1262">
            <v>1600</v>
          </cell>
          <cell r="I1262">
            <v>62500</v>
          </cell>
        </row>
        <row r="1263">
          <cell r="A1263">
            <v>44621</v>
          </cell>
          <cell r="B1263" t="str">
            <v>Mohamed Mady</v>
          </cell>
          <cell r="E1263" t="str">
            <v>DXB</v>
          </cell>
          <cell r="F1263" t="str">
            <v>AM</v>
          </cell>
          <cell r="H1263">
            <v>200</v>
          </cell>
          <cell r="I1263">
            <v>4000</v>
          </cell>
        </row>
        <row r="1264">
          <cell r="A1264">
            <v>44621</v>
          </cell>
          <cell r="B1264" t="str">
            <v>Ramzi Gholmieh</v>
          </cell>
          <cell r="E1264" t="str">
            <v>DXB</v>
          </cell>
          <cell r="F1264" t="str">
            <v>AM</v>
          </cell>
          <cell r="H1264">
            <v>400</v>
          </cell>
          <cell r="I1264">
            <v>14500</v>
          </cell>
        </row>
        <row r="1265">
          <cell r="A1265">
            <v>44621</v>
          </cell>
          <cell r="B1265" t="str">
            <v>Saleh Barami</v>
          </cell>
          <cell r="E1265" t="str">
            <v>DXB</v>
          </cell>
          <cell r="F1265" t="str">
            <v>AM</v>
          </cell>
          <cell r="H1265">
            <v>450</v>
          </cell>
          <cell r="I1265">
            <v>27000</v>
          </cell>
        </row>
        <row r="1266">
          <cell r="A1266">
            <v>44621</v>
          </cell>
          <cell r="B1266" t="str">
            <v>Talal Ahmed Ali Alsharhan</v>
          </cell>
          <cell r="E1266" t="str">
            <v>DXB</v>
          </cell>
          <cell r="F1266" t="str">
            <v>AM</v>
          </cell>
          <cell r="H1266">
            <v>550</v>
          </cell>
          <cell r="I1266">
            <v>17000</v>
          </cell>
        </row>
        <row r="1267">
          <cell r="A1267">
            <v>44621</v>
          </cell>
          <cell r="B1267" t="str">
            <v>Khaled Alawadi</v>
          </cell>
          <cell r="E1267" t="str">
            <v>F-NE</v>
          </cell>
          <cell r="F1267" t="str">
            <v>D</v>
          </cell>
          <cell r="H1267">
            <v>4100</v>
          </cell>
          <cell r="I1267">
            <v>62500</v>
          </cell>
        </row>
        <row r="1268">
          <cell r="A1268">
            <v>44621</v>
          </cell>
          <cell r="B1268" t="str">
            <v>Bader Al Shehhi</v>
          </cell>
          <cell r="E1268" t="str">
            <v>F-NE</v>
          </cell>
          <cell r="F1268" t="str">
            <v>AM</v>
          </cell>
          <cell r="H1268">
            <v>600</v>
          </cell>
          <cell r="I1268">
            <v>3500</v>
          </cell>
        </row>
        <row r="1269">
          <cell r="A1269">
            <v>44621</v>
          </cell>
          <cell r="B1269" t="str">
            <v>Majd Nairoukh</v>
          </cell>
          <cell r="E1269" t="str">
            <v>F-NE</v>
          </cell>
          <cell r="F1269" t="str">
            <v>AM</v>
          </cell>
          <cell r="H1269">
            <v>1400</v>
          </cell>
          <cell r="I1269">
            <v>49000</v>
          </cell>
        </row>
        <row r="1270">
          <cell r="A1270">
            <v>44621</v>
          </cell>
          <cell r="B1270" t="str">
            <v>Nader AlMustafa</v>
          </cell>
          <cell r="E1270" t="str">
            <v>F-NE</v>
          </cell>
          <cell r="F1270" t="str">
            <v>AM</v>
          </cell>
          <cell r="H1270">
            <v>200</v>
          </cell>
          <cell r="I1270">
            <v>5000</v>
          </cell>
        </row>
        <row r="1271">
          <cell r="A1271">
            <v>44621</v>
          </cell>
          <cell r="B1271" t="str">
            <v>Tariq AlAwadhi</v>
          </cell>
          <cell r="E1271" t="str">
            <v>F-NE</v>
          </cell>
          <cell r="F1271" t="str">
            <v>AM</v>
          </cell>
          <cell r="H1271">
            <v>80</v>
          </cell>
          <cell r="I1271">
            <v>2500</v>
          </cell>
        </row>
        <row r="1272">
          <cell r="A1272">
            <v>44621</v>
          </cell>
          <cell r="B1272" t="str">
            <v>Yousef Al Baloushi</v>
          </cell>
          <cell r="E1272" t="str">
            <v>F-NE</v>
          </cell>
          <cell r="F1272" t="str">
            <v>AM</v>
          </cell>
          <cell r="H1272">
            <v>1820</v>
          </cell>
          <cell r="I1272">
            <v>2500</v>
          </cell>
        </row>
        <row r="1273">
          <cell r="A1273">
            <v>44621</v>
          </cell>
          <cell r="B1273" t="str">
            <v>Khalid Karmastaji</v>
          </cell>
          <cell r="E1273" t="str">
            <v>KA-AUH</v>
          </cell>
          <cell r="F1273" t="str">
            <v>D</v>
          </cell>
          <cell r="H1273">
            <v>2100</v>
          </cell>
          <cell r="I1273">
            <v>62500</v>
          </cell>
        </row>
        <row r="1274">
          <cell r="A1274">
            <v>44621</v>
          </cell>
          <cell r="B1274" t="str">
            <v>Ahmed Almansoori</v>
          </cell>
          <cell r="E1274" t="str">
            <v>KA-AUH</v>
          </cell>
          <cell r="F1274" t="str">
            <v>AM</v>
          </cell>
          <cell r="H1274">
            <v>300</v>
          </cell>
          <cell r="I1274">
            <v>7000</v>
          </cell>
        </row>
        <row r="1275">
          <cell r="A1275">
            <v>44621</v>
          </cell>
          <cell r="B1275" t="str">
            <v>Ammar Alqudsi</v>
          </cell>
          <cell r="E1275" t="str">
            <v>KA-AUH</v>
          </cell>
          <cell r="F1275" t="str">
            <v>AM</v>
          </cell>
          <cell r="H1275">
            <v>250</v>
          </cell>
          <cell r="I1275">
            <v>11000</v>
          </cell>
        </row>
        <row r="1276">
          <cell r="A1276">
            <v>44621</v>
          </cell>
          <cell r="B1276" t="str">
            <v>Khaled Alshamsi</v>
          </cell>
          <cell r="E1276" t="str">
            <v>KA-AUH</v>
          </cell>
          <cell r="F1276" t="str">
            <v>AM</v>
          </cell>
          <cell r="H1276">
            <v>400</v>
          </cell>
          <cell r="I1276">
            <v>10000</v>
          </cell>
        </row>
        <row r="1277">
          <cell r="A1277">
            <v>44621</v>
          </cell>
          <cell r="B1277" t="str">
            <v>Khamis Almakrani</v>
          </cell>
          <cell r="E1277" t="str">
            <v>KA-AUH</v>
          </cell>
          <cell r="F1277" t="str">
            <v>AM</v>
          </cell>
          <cell r="H1277">
            <v>250</v>
          </cell>
          <cell r="I1277">
            <v>10000</v>
          </cell>
        </row>
        <row r="1278">
          <cell r="A1278">
            <v>44621</v>
          </cell>
          <cell r="B1278" t="str">
            <v>Osman Basuleman</v>
          </cell>
          <cell r="E1278" t="str">
            <v>KA-AUH</v>
          </cell>
          <cell r="F1278" t="str">
            <v>AM</v>
          </cell>
          <cell r="H1278">
            <v>400</v>
          </cell>
          <cell r="I1278">
            <v>11000</v>
          </cell>
        </row>
        <row r="1279">
          <cell r="A1279">
            <v>44621</v>
          </cell>
          <cell r="B1279" t="str">
            <v>Tarek Solh</v>
          </cell>
          <cell r="E1279" t="str">
            <v>KA-AUH</v>
          </cell>
          <cell r="F1279" t="str">
            <v>AM</v>
          </cell>
          <cell r="H1279">
            <v>500</v>
          </cell>
          <cell r="I1279">
            <v>13500</v>
          </cell>
        </row>
        <row r="1280">
          <cell r="A1280">
            <v>44621</v>
          </cell>
          <cell r="B1280" t="str">
            <v>Mazen Adem</v>
          </cell>
          <cell r="E1280" t="str">
            <v>KA</v>
          </cell>
          <cell r="F1280" t="str">
            <v>D</v>
          </cell>
          <cell r="H1280">
            <v>1200</v>
          </cell>
          <cell r="I1280">
            <v>62500</v>
          </cell>
        </row>
        <row r="1281">
          <cell r="A1281">
            <v>44621</v>
          </cell>
          <cell r="B1281" t="str">
            <v>Abdel Azim Sharabati</v>
          </cell>
          <cell r="E1281" t="str">
            <v>KA</v>
          </cell>
          <cell r="F1281" t="str">
            <v>AM</v>
          </cell>
          <cell r="H1281">
            <v>180</v>
          </cell>
          <cell r="I1281">
            <v>15000</v>
          </cell>
        </row>
        <row r="1282">
          <cell r="A1282">
            <v>44621</v>
          </cell>
          <cell r="B1282" t="str">
            <v>Abraham Cherian</v>
          </cell>
          <cell r="E1282" t="str">
            <v>KA</v>
          </cell>
          <cell r="F1282" t="str">
            <v>AM</v>
          </cell>
          <cell r="H1282">
            <v>350</v>
          </cell>
          <cell r="I1282">
            <v>9680</v>
          </cell>
        </row>
        <row r="1283">
          <cell r="A1283">
            <v>44621</v>
          </cell>
          <cell r="B1283" t="str">
            <v>Arjun Subaraman</v>
          </cell>
          <cell r="E1283" t="str">
            <v>KA</v>
          </cell>
          <cell r="F1283" t="str">
            <v>AM</v>
          </cell>
          <cell r="H1283">
            <v>230</v>
          </cell>
          <cell r="I1283">
            <v>12000</v>
          </cell>
        </row>
        <row r="1284">
          <cell r="A1284">
            <v>44621</v>
          </cell>
          <cell r="B1284" t="str">
            <v>Ghassan Fouany</v>
          </cell>
          <cell r="E1284" t="str">
            <v>KA</v>
          </cell>
          <cell r="F1284" t="str">
            <v>AM</v>
          </cell>
          <cell r="H1284">
            <v>340</v>
          </cell>
          <cell r="I1284">
            <v>7460</v>
          </cell>
        </row>
        <row r="1285">
          <cell r="A1285">
            <v>44621</v>
          </cell>
          <cell r="B1285" t="str">
            <v>Inayat Fazili</v>
          </cell>
          <cell r="E1285" t="str">
            <v>KA</v>
          </cell>
          <cell r="F1285" t="str">
            <v>AM</v>
          </cell>
          <cell r="H1285">
            <v>100</v>
          </cell>
          <cell r="I1285">
            <v>18360</v>
          </cell>
        </row>
        <row r="1286">
          <cell r="A1286">
            <v>44652</v>
          </cell>
          <cell r="B1286" t="str">
            <v>Mohamad Amer Sibai</v>
          </cell>
          <cell r="E1286" t="str">
            <v>DXB</v>
          </cell>
          <cell r="F1286" t="str">
            <v>D</v>
          </cell>
          <cell r="H1286">
            <v>1600</v>
          </cell>
          <cell r="I1286">
            <v>62500</v>
          </cell>
        </row>
        <row r="1287">
          <cell r="A1287">
            <v>44652</v>
          </cell>
          <cell r="B1287" t="str">
            <v>Mohamed Mady</v>
          </cell>
          <cell r="E1287" t="str">
            <v>DXB</v>
          </cell>
          <cell r="F1287" t="str">
            <v>AM</v>
          </cell>
          <cell r="H1287">
            <v>150</v>
          </cell>
          <cell r="I1287">
            <v>20000</v>
          </cell>
        </row>
        <row r="1288">
          <cell r="A1288">
            <v>44652</v>
          </cell>
          <cell r="B1288" t="str">
            <v>Ramzi Gholmieh</v>
          </cell>
          <cell r="E1288" t="str">
            <v>DXB</v>
          </cell>
          <cell r="F1288" t="str">
            <v>AM</v>
          </cell>
          <cell r="H1288">
            <v>350</v>
          </cell>
          <cell r="I1288">
            <v>14200</v>
          </cell>
        </row>
        <row r="1289">
          <cell r="A1289">
            <v>44652</v>
          </cell>
          <cell r="B1289" t="str">
            <v>Saleh Barami</v>
          </cell>
          <cell r="E1289" t="str">
            <v>DXB</v>
          </cell>
          <cell r="F1289" t="str">
            <v>AM</v>
          </cell>
          <cell r="H1289">
            <v>550</v>
          </cell>
          <cell r="I1289">
            <v>14200</v>
          </cell>
        </row>
        <row r="1290">
          <cell r="A1290">
            <v>44652</v>
          </cell>
          <cell r="B1290" t="str">
            <v>Talal Ahmed Ali Alsharhan</v>
          </cell>
          <cell r="E1290" t="str">
            <v>DXB</v>
          </cell>
          <cell r="F1290" t="str">
            <v>AM</v>
          </cell>
          <cell r="H1290">
            <v>550</v>
          </cell>
          <cell r="I1290">
            <v>14100</v>
          </cell>
        </row>
        <row r="1291">
          <cell r="A1291">
            <v>44652</v>
          </cell>
          <cell r="B1291" t="str">
            <v>Khaled Alawadi</v>
          </cell>
          <cell r="E1291" t="str">
            <v>F-NE</v>
          </cell>
          <cell r="F1291" t="str">
            <v>D</v>
          </cell>
          <cell r="H1291">
            <v>3500</v>
          </cell>
          <cell r="I1291">
            <v>62500</v>
          </cell>
        </row>
        <row r="1292">
          <cell r="A1292">
            <v>44652</v>
          </cell>
          <cell r="B1292" t="str">
            <v>Bader Al Shehhi</v>
          </cell>
          <cell r="E1292" t="str">
            <v>F-NE</v>
          </cell>
          <cell r="F1292" t="str">
            <v>AM</v>
          </cell>
          <cell r="H1292">
            <v>545</v>
          </cell>
          <cell r="I1292">
            <v>2000</v>
          </cell>
        </row>
        <row r="1293">
          <cell r="A1293">
            <v>44652</v>
          </cell>
          <cell r="B1293" t="str">
            <v>Majd Nairoukh</v>
          </cell>
          <cell r="E1293" t="str">
            <v>F-NE</v>
          </cell>
          <cell r="F1293" t="str">
            <v>AM</v>
          </cell>
          <cell r="H1293">
            <v>1400</v>
          </cell>
          <cell r="I1293">
            <v>29000</v>
          </cell>
        </row>
        <row r="1294">
          <cell r="A1294">
            <v>44652</v>
          </cell>
          <cell r="B1294" t="str">
            <v>Nader AlMustafa</v>
          </cell>
          <cell r="E1294" t="str">
            <v>F-NE</v>
          </cell>
          <cell r="F1294" t="str">
            <v>AM</v>
          </cell>
          <cell r="H1294">
            <v>130</v>
          </cell>
          <cell r="I1294">
            <v>3500</v>
          </cell>
        </row>
        <row r="1295">
          <cell r="A1295">
            <v>44652</v>
          </cell>
          <cell r="B1295" t="str">
            <v>Tariq AlAwadhi</v>
          </cell>
          <cell r="E1295" t="str">
            <v>F-NE</v>
          </cell>
          <cell r="F1295" t="str">
            <v>AM</v>
          </cell>
          <cell r="H1295">
            <v>25</v>
          </cell>
          <cell r="I1295">
            <v>25000</v>
          </cell>
        </row>
        <row r="1296">
          <cell r="A1296">
            <v>44652</v>
          </cell>
          <cell r="B1296" t="str">
            <v>Yousef Al Baloushi</v>
          </cell>
          <cell r="E1296" t="str">
            <v>F-NE</v>
          </cell>
          <cell r="F1296" t="str">
            <v>AM</v>
          </cell>
          <cell r="H1296">
            <v>1400</v>
          </cell>
          <cell r="I1296">
            <v>3000</v>
          </cell>
        </row>
        <row r="1297">
          <cell r="A1297">
            <v>44652</v>
          </cell>
          <cell r="B1297" t="str">
            <v>Khalid Karmastaji</v>
          </cell>
          <cell r="E1297" t="str">
            <v>KA-AUH</v>
          </cell>
          <cell r="F1297" t="str">
            <v>D</v>
          </cell>
          <cell r="H1297">
            <v>3100</v>
          </cell>
          <cell r="I1297">
            <v>62500</v>
          </cell>
        </row>
        <row r="1298">
          <cell r="A1298">
            <v>44652</v>
          </cell>
          <cell r="B1298" t="str">
            <v>Ammar Alqudsi</v>
          </cell>
          <cell r="E1298" t="str">
            <v>KA-AUH</v>
          </cell>
          <cell r="F1298" t="str">
            <v>AM</v>
          </cell>
          <cell r="H1298">
            <v>410</v>
          </cell>
          <cell r="I1298">
            <v>9500</v>
          </cell>
        </row>
        <row r="1299">
          <cell r="A1299">
            <v>44652</v>
          </cell>
          <cell r="B1299" t="str">
            <v>Osman Basuleman</v>
          </cell>
          <cell r="E1299" t="str">
            <v>KA-AUH</v>
          </cell>
          <cell r="F1299" t="str">
            <v>AM</v>
          </cell>
          <cell r="H1299">
            <v>370</v>
          </cell>
          <cell r="I1299">
            <v>7500</v>
          </cell>
        </row>
        <row r="1300">
          <cell r="A1300">
            <v>44652</v>
          </cell>
          <cell r="B1300" t="str">
            <v>Tarek Solh</v>
          </cell>
          <cell r="E1300" t="str">
            <v>KA-AUH</v>
          </cell>
          <cell r="F1300" t="str">
            <v>AM</v>
          </cell>
          <cell r="H1300">
            <v>480</v>
          </cell>
          <cell r="I1300">
            <v>7800</v>
          </cell>
        </row>
        <row r="1301">
          <cell r="A1301">
            <v>44652</v>
          </cell>
          <cell r="B1301" t="str">
            <v>Khamis Almakrani</v>
          </cell>
          <cell r="E1301" t="str">
            <v>KA-AUH</v>
          </cell>
          <cell r="F1301" t="str">
            <v>AM</v>
          </cell>
          <cell r="H1301">
            <v>360</v>
          </cell>
          <cell r="I1301">
            <v>7500</v>
          </cell>
        </row>
        <row r="1302">
          <cell r="A1302">
            <v>44652</v>
          </cell>
          <cell r="B1302" t="str">
            <v>Ahmed Almansoori</v>
          </cell>
          <cell r="E1302" t="str">
            <v>KA-AUH</v>
          </cell>
          <cell r="F1302" t="str">
            <v>AM</v>
          </cell>
          <cell r="H1302">
            <v>390</v>
          </cell>
          <cell r="I1302">
            <v>8000</v>
          </cell>
        </row>
        <row r="1303">
          <cell r="A1303">
            <v>44652</v>
          </cell>
          <cell r="B1303" t="str">
            <v>Khaled Alshamsi</v>
          </cell>
          <cell r="E1303" t="str">
            <v>KA-AUH</v>
          </cell>
          <cell r="F1303" t="str">
            <v>AM</v>
          </cell>
          <cell r="H1303">
            <v>430</v>
          </cell>
          <cell r="I1303">
            <v>9000</v>
          </cell>
        </row>
        <row r="1304">
          <cell r="A1304">
            <v>44652</v>
          </cell>
          <cell r="B1304" t="str">
            <v>Omar AlHammadi</v>
          </cell>
          <cell r="E1304" t="str">
            <v>KA-AUH</v>
          </cell>
          <cell r="F1304" t="str">
            <v>AM</v>
          </cell>
          <cell r="H1304">
            <v>260</v>
          </cell>
          <cell r="I1304">
            <v>5600</v>
          </cell>
        </row>
        <row r="1305">
          <cell r="A1305">
            <v>44652</v>
          </cell>
          <cell r="B1305" t="str">
            <v>Yousef Alhosani</v>
          </cell>
          <cell r="E1305" t="str">
            <v>KA-AUH</v>
          </cell>
          <cell r="F1305" t="str">
            <v>AM</v>
          </cell>
          <cell r="H1305">
            <v>70</v>
          </cell>
          <cell r="I1305">
            <v>1000</v>
          </cell>
        </row>
        <row r="1306">
          <cell r="A1306">
            <v>44652</v>
          </cell>
          <cell r="B1306" t="str">
            <v>Humaid Almaazmi</v>
          </cell>
          <cell r="E1306" t="str">
            <v>KA-AUH</v>
          </cell>
          <cell r="F1306" t="str">
            <v>AM</v>
          </cell>
          <cell r="H1306">
            <v>70</v>
          </cell>
          <cell r="I1306">
            <v>1000</v>
          </cell>
        </row>
        <row r="1307">
          <cell r="A1307">
            <v>44652</v>
          </cell>
          <cell r="B1307" t="str">
            <v>Abdulla Alhashmi</v>
          </cell>
          <cell r="E1307" t="str">
            <v>KA-AUH</v>
          </cell>
          <cell r="F1307" t="str">
            <v>AM</v>
          </cell>
          <cell r="H1307">
            <v>260</v>
          </cell>
          <cell r="I1307">
            <v>5600</v>
          </cell>
        </row>
        <row r="1308">
          <cell r="A1308">
            <v>44652</v>
          </cell>
          <cell r="B1308" t="str">
            <v>Mazen Adem</v>
          </cell>
          <cell r="E1308" t="str">
            <v>KA</v>
          </cell>
          <cell r="F1308" t="str">
            <v>D</v>
          </cell>
          <cell r="H1308">
            <v>1200</v>
          </cell>
          <cell r="I1308">
            <v>62500</v>
          </cell>
        </row>
        <row r="1309">
          <cell r="A1309">
            <v>44652</v>
          </cell>
          <cell r="B1309" t="str">
            <v>Abdel Azim Sharabati</v>
          </cell>
          <cell r="E1309" t="str">
            <v>KA</v>
          </cell>
          <cell r="F1309" t="str">
            <v>AM</v>
          </cell>
          <cell r="H1309">
            <v>160</v>
          </cell>
          <cell r="I1309">
            <v>12500</v>
          </cell>
        </row>
        <row r="1310">
          <cell r="A1310">
            <v>44652</v>
          </cell>
          <cell r="B1310" t="str">
            <v>Abraham Cherian</v>
          </cell>
          <cell r="E1310" t="str">
            <v>KA</v>
          </cell>
          <cell r="F1310" t="str">
            <v>AM</v>
          </cell>
          <cell r="H1310">
            <v>460</v>
          </cell>
          <cell r="I1310">
            <v>7500</v>
          </cell>
        </row>
        <row r="1311">
          <cell r="A1311">
            <v>44652</v>
          </cell>
          <cell r="B1311" t="str">
            <v>Arjun Subaraman</v>
          </cell>
          <cell r="E1311" t="str">
            <v>KA</v>
          </cell>
          <cell r="F1311" t="str">
            <v>AM</v>
          </cell>
          <cell r="H1311">
            <v>160</v>
          </cell>
          <cell r="I1311">
            <v>12500</v>
          </cell>
        </row>
        <row r="1312">
          <cell r="A1312">
            <v>44652</v>
          </cell>
          <cell r="B1312" t="str">
            <v>Ghassan Fouany</v>
          </cell>
          <cell r="E1312" t="str">
            <v>KA</v>
          </cell>
          <cell r="F1312" t="str">
            <v>AM</v>
          </cell>
          <cell r="H1312">
            <v>160</v>
          </cell>
          <cell r="I1312">
            <v>12500</v>
          </cell>
        </row>
        <row r="1313">
          <cell r="A1313">
            <v>44652</v>
          </cell>
          <cell r="B1313" t="str">
            <v>Inayat Fazili</v>
          </cell>
          <cell r="E1313" t="str">
            <v>KA</v>
          </cell>
          <cell r="F1313" t="str">
            <v>AM</v>
          </cell>
          <cell r="H1313">
            <v>160</v>
          </cell>
          <cell r="I1313">
            <v>12500</v>
          </cell>
        </row>
        <row r="1314">
          <cell r="A1314">
            <v>44652</v>
          </cell>
          <cell r="B1314" t="str">
            <v>Mohd Sheikh Salem</v>
          </cell>
          <cell r="E1314" t="str">
            <v>KA</v>
          </cell>
          <cell r="F1314" t="str">
            <v>AM</v>
          </cell>
          <cell r="H1314">
            <v>100</v>
          </cell>
          <cell r="I1314">
            <v>5000</v>
          </cell>
        </row>
        <row r="1315">
          <cell r="A1315">
            <v>44652</v>
          </cell>
          <cell r="B1315" t="str">
            <v>Mustafa Shalabi</v>
          </cell>
          <cell r="E1315" t="str">
            <v>FCR</v>
          </cell>
          <cell r="F1315" t="str">
            <v>D</v>
          </cell>
          <cell r="H1315">
            <v>1985.1315290618074</v>
          </cell>
          <cell r="I1315">
            <v>139436.61971830987</v>
          </cell>
        </row>
        <row r="1316">
          <cell r="A1316">
            <v>44652</v>
          </cell>
          <cell r="B1316" t="str">
            <v>Eslam Hassan</v>
          </cell>
          <cell r="E1316" t="str">
            <v>FCR</v>
          </cell>
          <cell r="F1316" t="str">
            <v>AM</v>
          </cell>
          <cell r="H1316">
            <v>242</v>
          </cell>
          <cell r="I1316">
            <v>9094</v>
          </cell>
        </row>
        <row r="1317">
          <cell r="A1317">
            <v>44652</v>
          </cell>
          <cell r="B1317" t="str">
            <v>Mohamad Labban</v>
          </cell>
          <cell r="E1317" t="str">
            <v>FCR</v>
          </cell>
          <cell r="F1317" t="str">
            <v>AM</v>
          </cell>
          <cell r="H1317">
            <v>285</v>
          </cell>
          <cell r="I1317">
            <v>9094</v>
          </cell>
        </row>
        <row r="1318">
          <cell r="A1318">
            <v>44652</v>
          </cell>
          <cell r="B1318" t="str">
            <v>Mohamed Mostafa</v>
          </cell>
          <cell r="E1318" t="str">
            <v>FCR</v>
          </cell>
          <cell r="F1318" t="str">
            <v>AM</v>
          </cell>
          <cell r="H1318">
            <v>94</v>
          </cell>
          <cell r="I1318">
            <v>16154</v>
          </cell>
        </row>
        <row r="1319">
          <cell r="A1319">
            <v>44652</v>
          </cell>
          <cell r="B1319" t="str">
            <v>Nadeem Rasheed</v>
          </cell>
          <cell r="E1319" t="str">
            <v>FCR</v>
          </cell>
          <cell r="F1319" t="str">
            <v>AM</v>
          </cell>
          <cell r="H1319">
            <v>275</v>
          </cell>
          <cell r="I1319">
            <v>9094</v>
          </cell>
        </row>
        <row r="1320">
          <cell r="A1320">
            <v>44652</v>
          </cell>
          <cell r="B1320" t="str">
            <v>Othman Hassan</v>
          </cell>
          <cell r="E1320" t="str">
            <v>FCR</v>
          </cell>
          <cell r="F1320" t="str">
            <v>AM</v>
          </cell>
          <cell r="H1320">
            <v>190</v>
          </cell>
          <cell r="I1320">
            <v>9094</v>
          </cell>
        </row>
        <row r="1321">
          <cell r="A1321">
            <v>44652</v>
          </cell>
          <cell r="B1321" t="str">
            <v>Ranjith Chandran</v>
          </cell>
          <cell r="E1321" t="str">
            <v>FCR</v>
          </cell>
          <cell r="F1321" t="str">
            <v>AM</v>
          </cell>
          <cell r="H1321">
            <v>225</v>
          </cell>
          <cell r="I1321">
            <v>9094</v>
          </cell>
        </row>
        <row r="1322">
          <cell r="A1322">
            <v>44652</v>
          </cell>
          <cell r="B1322" t="str">
            <v>Richard Chandy</v>
          </cell>
          <cell r="E1322" t="str">
            <v>FCR</v>
          </cell>
          <cell r="F1322" t="str">
            <v>AM</v>
          </cell>
          <cell r="H1322">
            <v>225</v>
          </cell>
          <cell r="I1322">
            <v>9094</v>
          </cell>
        </row>
        <row r="1323">
          <cell r="A1323">
            <v>44652</v>
          </cell>
          <cell r="B1323" t="str">
            <v>Rijith Menon</v>
          </cell>
          <cell r="E1323" t="str">
            <v>FCR</v>
          </cell>
          <cell r="F1323" t="str">
            <v>AM</v>
          </cell>
          <cell r="H1323">
            <v>97</v>
          </cell>
          <cell r="I1323">
            <v>18715</v>
          </cell>
        </row>
        <row r="1324">
          <cell r="A1324">
            <v>44652</v>
          </cell>
          <cell r="B1324" t="str">
            <v>Simon Williams</v>
          </cell>
          <cell r="E1324" t="str">
            <v>FCR</v>
          </cell>
          <cell r="F1324" t="str">
            <v>AM</v>
          </cell>
          <cell r="H1324">
            <v>97</v>
          </cell>
          <cell r="I1324">
            <v>18715</v>
          </cell>
        </row>
        <row r="1325">
          <cell r="A1325">
            <v>44652</v>
          </cell>
          <cell r="B1325" t="str">
            <v>Usman Zafar Sipra</v>
          </cell>
          <cell r="E1325" t="str">
            <v>FCR</v>
          </cell>
          <cell r="F1325" t="str">
            <v>AM</v>
          </cell>
          <cell r="H1325">
            <v>85</v>
          </cell>
          <cell r="I1325">
            <v>15104</v>
          </cell>
        </row>
        <row r="1326">
          <cell r="A1326">
            <v>44652</v>
          </cell>
          <cell r="B1326" t="str">
            <v>Farha Hameed</v>
          </cell>
          <cell r="E1326" t="str">
            <v>FCR</v>
          </cell>
          <cell r="F1326" t="str">
            <v>AM</v>
          </cell>
          <cell r="H1326">
            <v>85</v>
          </cell>
          <cell r="I1326">
            <v>8090</v>
          </cell>
        </row>
        <row r="1327">
          <cell r="A1327">
            <v>44652</v>
          </cell>
          <cell r="B1327" t="str">
            <v>Vineeth Augustine</v>
          </cell>
          <cell r="E1327" t="str">
            <v>FCR</v>
          </cell>
          <cell r="F1327" t="str">
            <v>AM</v>
          </cell>
          <cell r="H1327">
            <v>85</v>
          </cell>
          <cell r="I1327">
            <v>8095</v>
          </cell>
        </row>
        <row r="1328">
          <cell r="A1328">
            <v>44652</v>
          </cell>
          <cell r="B1328" t="str">
            <v>Maitha Bin Malek</v>
          </cell>
          <cell r="E1328" t="str">
            <v>HHTT</v>
          </cell>
          <cell r="F1328" t="str">
            <v>D</v>
          </cell>
          <cell r="H1328">
            <v>1311.3460100736759</v>
          </cell>
          <cell r="I1328">
            <v>112323.94366197183</v>
          </cell>
        </row>
        <row r="1329">
          <cell r="A1329">
            <v>44652</v>
          </cell>
          <cell r="B1329" t="str">
            <v>Atef Kassem</v>
          </cell>
          <cell r="E1329" t="str">
            <v>HHTT</v>
          </cell>
          <cell r="F1329" t="str">
            <v>AM</v>
          </cell>
          <cell r="H1329">
            <v>130</v>
          </cell>
          <cell r="I1329">
            <v>15308.101104767498</v>
          </cell>
        </row>
        <row r="1330">
          <cell r="A1330">
            <v>44652</v>
          </cell>
          <cell r="B1330" t="str">
            <v>Bashar Al Adilee</v>
          </cell>
          <cell r="E1330" t="str">
            <v>HHTT</v>
          </cell>
          <cell r="F1330" t="str">
            <v>AM</v>
          </cell>
          <cell r="H1330">
            <v>145</v>
          </cell>
          <cell r="I1330">
            <v>10599.334257093715</v>
          </cell>
        </row>
        <row r="1331">
          <cell r="A1331">
            <v>44652</v>
          </cell>
          <cell r="B1331" t="str">
            <v>Favas Kurinhilayil</v>
          </cell>
          <cell r="E1331" t="str">
            <v>HHTT</v>
          </cell>
          <cell r="F1331" t="str">
            <v>AM</v>
          </cell>
          <cell r="H1331">
            <v>195</v>
          </cell>
          <cell r="I1331">
            <v>5983.53719754138</v>
          </cell>
        </row>
        <row r="1332">
          <cell r="A1332">
            <v>44652</v>
          </cell>
          <cell r="B1332" t="str">
            <v>Feroz Shaikh</v>
          </cell>
          <cell r="E1332" t="str">
            <v>HHTT</v>
          </cell>
          <cell r="F1332" t="str">
            <v>AM</v>
          </cell>
          <cell r="H1332">
            <v>195</v>
          </cell>
          <cell r="I1332">
            <v>9763.8440781858935</v>
          </cell>
        </row>
        <row r="1333">
          <cell r="A1333">
            <v>44652</v>
          </cell>
          <cell r="B1333" t="str">
            <v>Muhammad Nauman Khan</v>
          </cell>
          <cell r="E1333" t="str">
            <v>HHTT</v>
          </cell>
          <cell r="F1333" t="str">
            <v>AM</v>
          </cell>
          <cell r="H1333">
            <v>125</v>
          </cell>
          <cell r="I1333">
            <v>19478.245539234402</v>
          </cell>
        </row>
        <row r="1334">
          <cell r="A1334">
            <v>44652</v>
          </cell>
          <cell r="B1334" t="str">
            <v>Mushahid Hussain Syed</v>
          </cell>
          <cell r="E1334" t="str">
            <v>HHTT</v>
          </cell>
          <cell r="F1334" t="str">
            <v>AM</v>
          </cell>
          <cell r="H1334">
            <v>119.17441395763733</v>
          </cell>
          <cell r="I1334">
            <v>5983.53719754138</v>
          </cell>
        </row>
        <row r="1335">
          <cell r="A1335">
            <v>44652</v>
          </cell>
          <cell r="B1335" t="str">
            <v>Osama ElWawi</v>
          </cell>
          <cell r="E1335" t="str">
            <v>HHTT</v>
          </cell>
          <cell r="F1335" t="str">
            <v>AM</v>
          </cell>
          <cell r="H1335">
            <v>127</v>
          </cell>
          <cell r="I1335">
            <v>20534.52640296378</v>
          </cell>
        </row>
        <row r="1336">
          <cell r="A1336">
            <v>44652</v>
          </cell>
          <cell r="B1336" t="str">
            <v>Ramez Al Alami</v>
          </cell>
          <cell r="E1336" t="str">
            <v>HHTT</v>
          </cell>
          <cell r="F1336" t="str">
            <v>AM</v>
          </cell>
          <cell r="H1336">
            <v>145</v>
          </cell>
          <cell r="I1336">
            <v>14073.284588929797</v>
          </cell>
        </row>
        <row r="1337">
          <cell r="A1337">
            <v>44652</v>
          </cell>
          <cell r="B1337" t="str">
            <v>Ramy Abdel Fattah</v>
          </cell>
          <cell r="E1337" t="str">
            <v>HHTT</v>
          </cell>
          <cell r="F1337" t="str">
            <v>AM</v>
          </cell>
          <cell r="H1337">
            <v>130</v>
          </cell>
          <cell r="I1337">
            <v>10599.334257093715</v>
          </cell>
        </row>
        <row r="1338">
          <cell r="A1338">
            <v>44652</v>
          </cell>
          <cell r="B1338" t="str">
            <v>Hamzah Nofal</v>
          </cell>
          <cell r="E1338" t="str">
            <v>HUNT</v>
          </cell>
          <cell r="F1338" t="str">
            <v>D</v>
          </cell>
          <cell r="H1338">
            <v>728.64056124062176</v>
          </cell>
          <cell r="I1338">
            <v>65845.070422535209</v>
          </cell>
        </row>
        <row r="1339">
          <cell r="A1339">
            <v>44652</v>
          </cell>
          <cell r="B1339" t="str">
            <v>AlMas Zaheer</v>
          </cell>
          <cell r="E1339" t="str">
            <v>HUNT</v>
          </cell>
          <cell r="F1339" t="str">
            <v>AM</v>
          </cell>
          <cell r="H1339">
            <v>164</v>
          </cell>
          <cell r="I1339">
            <v>5000</v>
          </cell>
        </row>
        <row r="1340">
          <cell r="A1340">
            <v>44652</v>
          </cell>
          <cell r="B1340" t="str">
            <v>Iqbal Hussain</v>
          </cell>
          <cell r="E1340" t="str">
            <v>HUNT</v>
          </cell>
          <cell r="F1340" t="str">
            <v>AM</v>
          </cell>
          <cell r="H1340">
            <v>45</v>
          </cell>
          <cell r="I1340">
            <v>18000</v>
          </cell>
        </row>
        <row r="1341">
          <cell r="A1341">
            <v>44652</v>
          </cell>
          <cell r="B1341" t="str">
            <v>Mohamed Kishk</v>
          </cell>
          <cell r="E1341" t="str">
            <v>HUNT</v>
          </cell>
          <cell r="F1341" t="str">
            <v>AM</v>
          </cell>
          <cell r="H1341">
            <v>90</v>
          </cell>
          <cell r="I1341">
            <v>8500</v>
          </cell>
        </row>
        <row r="1342">
          <cell r="A1342">
            <v>44652</v>
          </cell>
          <cell r="B1342" t="str">
            <v>Muhammad Ismail</v>
          </cell>
          <cell r="E1342" t="str">
            <v>HUNT</v>
          </cell>
          <cell r="F1342" t="str">
            <v>AM</v>
          </cell>
          <cell r="H1342">
            <v>90</v>
          </cell>
          <cell r="I1342">
            <v>8500</v>
          </cell>
        </row>
        <row r="1343">
          <cell r="A1343">
            <v>44652</v>
          </cell>
          <cell r="B1343" t="str">
            <v>Mushtaq Ahamad</v>
          </cell>
          <cell r="E1343" t="str">
            <v>HUNT</v>
          </cell>
          <cell r="F1343" t="str">
            <v>AM</v>
          </cell>
          <cell r="H1343">
            <v>90</v>
          </cell>
          <cell r="I1343">
            <v>8500</v>
          </cell>
        </row>
        <row r="1344">
          <cell r="A1344">
            <v>44652</v>
          </cell>
          <cell r="B1344" t="str">
            <v>Nasir Khan</v>
          </cell>
          <cell r="E1344" t="str">
            <v>HUNT</v>
          </cell>
          <cell r="F1344" t="str">
            <v>AM</v>
          </cell>
          <cell r="H1344">
            <v>70</v>
          </cell>
          <cell r="I1344">
            <v>10000</v>
          </cell>
        </row>
        <row r="1345">
          <cell r="A1345">
            <v>44652</v>
          </cell>
          <cell r="B1345" t="str">
            <v>Shiraz Niazi</v>
          </cell>
          <cell r="E1345" t="str">
            <v>HUNT</v>
          </cell>
          <cell r="F1345" t="str">
            <v>AM</v>
          </cell>
          <cell r="H1345">
            <v>90</v>
          </cell>
          <cell r="I1345">
            <v>8500</v>
          </cell>
        </row>
        <row r="1346">
          <cell r="A1346">
            <v>44652</v>
          </cell>
          <cell r="B1346" t="str">
            <v>Wasim Raja</v>
          </cell>
          <cell r="E1346" t="str">
            <v>HUNT</v>
          </cell>
          <cell r="F1346" t="str">
            <v>AM</v>
          </cell>
          <cell r="H1346">
            <v>90</v>
          </cell>
          <cell r="I1346">
            <v>8500</v>
          </cell>
        </row>
        <row r="1347">
          <cell r="A1347">
            <v>44652</v>
          </cell>
          <cell r="B1347" t="str">
            <v>Imran Malik</v>
          </cell>
          <cell r="E1347" t="str">
            <v>RCOGM</v>
          </cell>
          <cell r="F1347" t="str">
            <v>D</v>
          </cell>
          <cell r="H1347">
            <v>1646</v>
          </cell>
          <cell r="I1347">
            <v>100704</v>
          </cell>
        </row>
        <row r="1348">
          <cell r="A1348">
            <v>44652</v>
          </cell>
          <cell r="B1348" t="str">
            <v>Adnan Bashir</v>
          </cell>
          <cell r="E1348" t="str">
            <v>RCOGM</v>
          </cell>
          <cell r="F1348" t="str">
            <v>AM</v>
          </cell>
          <cell r="H1348">
            <v>150</v>
          </cell>
          <cell r="I1348">
            <v>4000</v>
          </cell>
        </row>
        <row r="1349">
          <cell r="A1349">
            <v>44652</v>
          </cell>
          <cell r="B1349" t="str">
            <v>Ali Alzarooni</v>
          </cell>
          <cell r="E1349" t="str">
            <v>RCOGM</v>
          </cell>
          <cell r="F1349" t="str">
            <v>AM</v>
          </cell>
          <cell r="H1349">
            <v>140</v>
          </cell>
          <cell r="I1349">
            <v>13000</v>
          </cell>
        </row>
        <row r="1350">
          <cell r="A1350">
            <v>44652</v>
          </cell>
          <cell r="B1350" t="str">
            <v>Ali Shahin</v>
          </cell>
          <cell r="E1350" t="str">
            <v>RCOGM</v>
          </cell>
          <cell r="F1350" t="str">
            <v>AM</v>
          </cell>
          <cell r="H1350">
            <v>175</v>
          </cell>
          <cell r="I1350">
            <v>16000</v>
          </cell>
        </row>
        <row r="1351">
          <cell r="A1351">
            <v>44652</v>
          </cell>
          <cell r="B1351" t="str">
            <v>Ammar Aladily</v>
          </cell>
          <cell r="E1351" t="str">
            <v>RCOGM</v>
          </cell>
          <cell r="F1351" t="str">
            <v>AM</v>
          </cell>
          <cell r="H1351">
            <v>280</v>
          </cell>
          <cell r="I1351">
            <v>20000</v>
          </cell>
        </row>
        <row r="1352">
          <cell r="A1352">
            <v>44652</v>
          </cell>
          <cell r="B1352" t="str">
            <v>Ayaz Zargar</v>
          </cell>
          <cell r="E1352" t="str">
            <v>RCOGM</v>
          </cell>
          <cell r="F1352" t="str">
            <v>AM</v>
          </cell>
          <cell r="H1352">
            <v>140</v>
          </cell>
          <cell r="I1352">
            <v>13000</v>
          </cell>
        </row>
        <row r="1353">
          <cell r="A1353">
            <v>44652</v>
          </cell>
          <cell r="B1353" t="str">
            <v>Danish Shabir</v>
          </cell>
          <cell r="E1353" t="str">
            <v>RCOGM</v>
          </cell>
          <cell r="F1353" t="str">
            <v>AM</v>
          </cell>
          <cell r="H1353">
            <v>150</v>
          </cell>
          <cell r="I1353">
            <v>4000</v>
          </cell>
        </row>
        <row r="1354">
          <cell r="A1354">
            <v>44652</v>
          </cell>
          <cell r="B1354" t="str">
            <v>Sana Shaikh</v>
          </cell>
          <cell r="E1354" t="str">
            <v>RCOGM</v>
          </cell>
          <cell r="F1354" t="str">
            <v>AM</v>
          </cell>
          <cell r="H1354">
            <v>140</v>
          </cell>
          <cell r="I1354">
            <v>13000</v>
          </cell>
        </row>
        <row r="1355">
          <cell r="A1355">
            <v>44652</v>
          </cell>
          <cell r="B1355" t="str">
            <v>Shabbir Lacewala</v>
          </cell>
          <cell r="E1355" t="str">
            <v>RCOGM</v>
          </cell>
          <cell r="F1355" t="str">
            <v>AM</v>
          </cell>
          <cell r="H1355">
            <v>175</v>
          </cell>
          <cell r="I1355">
            <v>16000</v>
          </cell>
        </row>
        <row r="1356">
          <cell r="A1356">
            <v>44652</v>
          </cell>
          <cell r="B1356" t="str">
            <v>Shadab Sheikh</v>
          </cell>
          <cell r="E1356" t="str">
            <v>RCOGM</v>
          </cell>
          <cell r="F1356" t="str">
            <v>AM</v>
          </cell>
          <cell r="H1356">
            <v>150</v>
          </cell>
          <cell r="I1356">
            <v>13000</v>
          </cell>
        </row>
        <row r="1357">
          <cell r="A1357">
            <v>44652</v>
          </cell>
          <cell r="B1357" t="str">
            <v>Waseem Choudhary</v>
          </cell>
          <cell r="E1357" t="str">
            <v>RCOGM</v>
          </cell>
          <cell r="F1357" t="str">
            <v>AM</v>
          </cell>
          <cell r="H1357">
            <v>150</v>
          </cell>
          <cell r="I1357">
            <v>13000</v>
          </cell>
        </row>
        <row r="1358">
          <cell r="A1358">
            <v>44652</v>
          </cell>
          <cell r="B1358" t="str">
            <v>Hany Jawee</v>
          </cell>
          <cell r="E1358" t="str">
            <v>TME</v>
          </cell>
          <cell r="F1358" t="str">
            <v>D</v>
          </cell>
          <cell r="H1358">
            <v>1677.7362922884201</v>
          </cell>
          <cell r="I1358">
            <v>131690.14084507042</v>
          </cell>
        </row>
        <row r="1359">
          <cell r="A1359">
            <v>44652</v>
          </cell>
          <cell r="B1359" t="str">
            <v>Ahmad Ozdamir</v>
          </cell>
          <cell r="E1359" t="str">
            <v>TME</v>
          </cell>
          <cell r="F1359" t="str">
            <v>AM</v>
          </cell>
          <cell r="H1359">
            <v>86.104911044431901</v>
          </cell>
          <cell r="I1359">
            <v>3512.91765795724</v>
          </cell>
        </row>
        <row r="1360">
          <cell r="A1360">
            <v>44652</v>
          </cell>
          <cell r="B1360" t="str">
            <v>Ahmed AlShehhi</v>
          </cell>
          <cell r="E1360" t="str">
            <v>TME</v>
          </cell>
          <cell r="F1360" t="str">
            <v>AM</v>
          </cell>
          <cell r="H1360">
            <v>78.104911044431901</v>
          </cell>
          <cell r="I1360">
            <v>3512.91765795724</v>
          </cell>
        </row>
        <row r="1361">
          <cell r="A1361">
            <v>44652</v>
          </cell>
          <cell r="B1361" t="str">
            <v>Amjad Ilwan</v>
          </cell>
          <cell r="E1361" t="str">
            <v>TME</v>
          </cell>
          <cell r="F1361" t="str">
            <v>AM</v>
          </cell>
          <cell r="H1361">
            <v>86.424749483900001</v>
          </cell>
          <cell r="I1361">
            <v>3685.6009171392002</v>
          </cell>
        </row>
        <row r="1362">
          <cell r="A1362">
            <v>44652</v>
          </cell>
          <cell r="B1362" t="str">
            <v>Anastasia Maltseva</v>
          </cell>
          <cell r="E1362" t="str">
            <v>TME</v>
          </cell>
          <cell r="F1362" t="str">
            <v>AM</v>
          </cell>
          <cell r="H1362">
            <v>78.104911044431901</v>
          </cell>
          <cell r="I1362">
            <v>3379.5961258552402</v>
          </cell>
        </row>
        <row r="1363">
          <cell r="A1363">
            <v>44652</v>
          </cell>
          <cell r="B1363" t="str">
            <v>Buhari Buhari</v>
          </cell>
          <cell r="E1363" t="str">
            <v>TME</v>
          </cell>
          <cell r="F1363" t="str">
            <v>AM</v>
          </cell>
          <cell r="H1363">
            <v>78.104911044431901</v>
          </cell>
          <cell r="I1363">
            <v>3204.2396787646999</v>
          </cell>
        </row>
        <row r="1364">
          <cell r="A1364">
            <v>44652</v>
          </cell>
          <cell r="B1364" t="str">
            <v>Ehab Hajou</v>
          </cell>
          <cell r="E1364" t="str">
            <v>TME</v>
          </cell>
          <cell r="F1364" t="str">
            <v>AM</v>
          </cell>
          <cell r="H1364">
            <v>59.104911044431901</v>
          </cell>
          <cell r="I1364">
            <v>56512.917657957201</v>
          </cell>
        </row>
        <row r="1365">
          <cell r="A1365">
            <v>44652</v>
          </cell>
          <cell r="B1365" t="str">
            <v>Fadi Saleh</v>
          </cell>
          <cell r="E1365" t="str">
            <v>TME</v>
          </cell>
          <cell r="F1365" t="str">
            <v>AM</v>
          </cell>
          <cell r="H1365">
            <v>78.935173482875996</v>
          </cell>
          <cell r="I1365">
            <v>3512.91765795724</v>
          </cell>
        </row>
        <row r="1366">
          <cell r="A1366">
            <v>44652</v>
          </cell>
          <cell r="B1366" t="str">
            <v>Jeevantha Ranasinghe</v>
          </cell>
          <cell r="E1366" t="str">
            <v>TME</v>
          </cell>
          <cell r="F1366" t="str">
            <v>AM</v>
          </cell>
          <cell r="H1366">
            <v>89.104911044431901</v>
          </cell>
          <cell r="I1366">
            <v>4512.9176579572404</v>
          </cell>
        </row>
        <row r="1367">
          <cell r="A1367">
            <v>44652</v>
          </cell>
          <cell r="B1367" t="str">
            <v>Khalid Mohammed</v>
          </cell>
          <cell r="E1367" t="str">
            <v>TME</v>
          </cell>
          <cell r="F1367" t="str">
            <v>AM</v>
          </cell>
          <cell r="H1367">
            <v>344.32924523673802</v>
          </cell>
          <cell r="I1367">
            <v>3512.91765795724</v>
          </cell>
        </row>
        <row r="1368">
          <cell r="A1368">
            <v>44652</v>
          </cell>
          <cell r="B1368" t="str">
            <v>Sara Alblooshi</v>
          </cell>
          <cell r="E1368" t="str">
            <v>TME</v>
          </cell>
          <cell r="F1368" t="str">
            <v>AM</v>
          </cell>
          <cell r="H1368">
            <v>78.104911044431901</v>
          </cell>
          <cell r="I1368">
            <v>3512.91765795724</v>
          </cell>
        </row>
        <row r="1369">
          <cell r="A1369">
            <v>44652</v>
          </cell>
          <cell r="B1369" t="str">
            <v>Suleiman Wanni</v>
          </cell>
          <cell r="E1369" t="str">
            <v>TME</v>
          </cell>
          <cell r="F1369" t="str">
            <v>AM</v>
          </cell>
          <cell r="H1369">
            <v>532.10292468501905</v>
          </cell>
          <cell r="I1369">
            <v>36694.997081319299</v>
          </cell>
        </row>
        <row r="1370">
          <cell r="A1370">
            <v>44652</v>
          </cell>
          <cell r="B1370" t="str">
            <v>Waseem Suhaf</v>
          </cell>
          <cell r="E1370" t="str">
            <v>TME</v>
          </cell>
          <cell r="F1370" t="str">
            <v>AM</v>
          </cell>
          <cell r="H1370">
            <v>89.104911044431901</v>
          </cell>
          <cell r="I1370">
            <v>6135.3657783340996</v>
          </cell>
        </row>
        <row r="1371">
          <cell r="A1371">
            <v>44682</v>
          </cell>
          <cell r="B1371" t="str">
            <v>Mohamad Amer Sibai</v>
          </cell>
          <cell r="E1371" t="str">
            <v>DXB</v>
          </cell>
          <cell r="F1371" t="str">
            <v>D</v>
          </cell>
          <cell r="H1371">
            <v>1500</v>
          </cell>
          <cell r="I1371">
            <v>100000</v>
          </cell>
        </row>
        <row r="1372">
          <cell r="A1372">
            <v>44682</v>
          </cell>
          <cell r="B1372" t="str">
            <v>Mohamed Mady</v>
          </cell>
          <cell r="E1372" t="str">
            <v>DXB</v>
          </cell>
          <cell r="F1372" t="str">
            <v>AM</v>
          </cell>
          <cell r="H1372">
            <v>200</v>
          </cell>
          <cell r="I1372">
            <v>40000</v>
          </cell>
        </row>
        <row r="1373">
          <cell r="A1373">
            <v>44682</v>
          </cell>
          <cell r="B1373" t="str">
            <v>Ramzi Gholmieh</v>
          </cell>
          <cell r="E1373" t="str">
            <v>DXB</v>
          </cell>
          <cell r="F1373" t="str">
            <v>AM</v>
          </cell>
          <cell r="H1373">
            <v>300</v>
          </cell>
          <cell r="I1373">
            <v>20000</v>
          </cell>
        </row>
        <row r="1374">
          <cell r="A1374">
            <v>44682</v>
          </cell>
          <cell r="B1374" t="str">
            <v>Saleh Barami</v>
          </cell>
          <cell r="E1374" t="str">
            <v>DXB</v>
          </cell>
          <cell r="F1374" t="str">
            <v>AM</v>
          </cell>
          <cell r="H1374">
            <v>550</v>
          </cell>
          <cell r="I1374">
            <v>20000</v>
          </cell>
        </row>
        <row r="1375">
          <cell r="A1375">
            <v>44682</v>
          </cell>
          <cell r="B1375" t="str">
            <v>Talal Ahmed Ali Alsharhan</v>
          </cell>
          <cell r="E1375" t="str">
            <v>DXB</v>
          </cell>
          <cell r="F1375" t="str">
            <v>AM</v>
          </cell>
          <cell r="H1375">
            <v>450</v>
          </cell>
          <cell r="I1375">
            <v>20000</v>
          </cell>
        </row>
        <row r="1376">
          <cell r="A1376">
            <v>44682</v>
          </cell>
          <cell r="B1376" t="str">
            <v>Khaled Alawadi</v>
          </cell>
          <cell r="E1376" t="str">
            <v>F-NE</v>
          </cell>
          <cell r="F1376" t="str">
            <v>D</v>
          </cell>
          <cell r="H1376">
            <v>5000</v>
          </cell>
          <cell r="I1376">
            <v>100000</v>
          </cell>
        </row>
        <row r="1377">
          <cell r="A1377">
            <v>44682</v>
          </cell>
          <cell r="B1377" t="str">
            <v>Bader Al Shehhi</v>
          </cell>
          <cell r="E1377" t="str">
            <v>F-NE</v>
          </cell>
          <cell r="F1377" t="str">
            <v>AM</v>
          </cell>
          <cell r="H1377">
            <v>50</v>
          </cell>
          <cell r="I1377">
            <v>1250</v>
          </cell>
        </row>
        <row r="1378">
          <cell r="A1378">
            <v>44682</v>
          </cell>
          <cell r="B1378" t="str">
            <v>Majd Nairoukh</v>
          </cell>
          <cell r="E1378" t="str">
            <v>F-NE</v>
          </cell>
          <cell r="F1378" t="str">
            <v>AM</v>
          </cell>
          <cell r="H1378">
            <v>4615</v>
          </cell>
          <cell r="I1378">
            <v>5000</v>
          </cell>
        </row>
        <row r="1379">
          <cell r="A1379">
            <v>44682</v>
          </cell>
          <cell r="B1379" t="str">
            <v>Nader AlMustafa</v>
          </cell>
          <cell r="E1379" t="str">
            <v>F-NE</v>
          </cell>
          <cell r="F1379" t="str">
            <v>AM</v>
          </cell>
          <cell r="H1379">
            <v>20</v>
          </cell>
          <cell r="I1379">
            <v>75750</v>
          </cell>
        </row>
        <row r="1380">
          <cell r="A1380">
            <v>44682</v>
          </cell>
          <cell r="B1380" t="str">
            <v>Tariq AlAwadhi</v>
          </cell>
          <cell r="E1380" t="str">
            <v>F-NE</v>
          </cell>
          <cell r="F1380" t="str">
            <v>AM</v>
          </cell>
          <cell r="H1380">
            <v>15</v>
          </cell>
          <cell r="I1380">
            <v>15500</v>
          </cell>
        </row>
        <row r="1381">
          <cell r="A1381">
            <v>44682</v>
          </cell>
          <cell r="B1381" t="str">
            <v>Yousef Al Baloushi</v>
          </cell>
          <cell r="E1381" t="str">
            <v>F-NE</v>
          </cell>
          <cell r="F1381" t="str">
            <v>AM</v>
          </cell>
          <cell r="H1381">
            <v>300</v>
          </cell>
          <cell r="I1381">
            <v>2500</v>
          </cell>
        </row>
        <row r="1382">
          <cell r="A1382">
            <v>44682</v>
          </cell>
          <cell r="B1382" t="str">
            <v>Khalid Karmastaji</v>
          </cell>
          <cell r="E1382" t="str">
            <v>KA-AUH</v>
          </cell>
          <cell r="F1382" t="str">
            <v>D</v>
          </cell>
          <cell r="H1382">
            <v>3000</v>
          </cell>
          <cell r="I1382">
            <v>100000</v>
          </cell>
        </row>
        <row r="1383">
          <cell r="A1383">
            <v>44682</v>
          </cell>
          <cell r="B1383" t="str">
            <v>Ammar Alqudsi</v>
          </cell>
          <cell r="E1383" t="str">
            <v>KA-AUH</v>
          </cell>
          <cell r="F1383" t="str">
            <v>AM</v>
          </cell>
          <cell r="H1383">
            <v>320</v>
          </cell>
          <cell r="I1383">
            <v>20000</v>
          </cell>
        </row>
        <row r="1384">
          <cell r="A1384">
            <v>44682</v>
          </cell>
          <cell r="B1384" t="str">
            <v>Osman Basuleman</v>
          </cell>
          <cell r="E1384" t="str">
            <v>KA-AUH</v>
          </cell>
          <cell r="F1384" t="str">
            <v>AM</v>
          </cell>
          <cell r="H1384">
            <v>330</v>
          </cell>
          <cell r="I1384">
            <v>10000</v>
          </cell>
        </row>
        <row r="1385">
          <cell r="A1385">
            <v>44682</v>
          </cell>
          <cell r="B1385" t="str">
            <v>Tarek Solh</v>
          </cell>
          <cell r="E1385" t="str">
            <v>KA-AUH</v>
          </cell>
          <cell r="F1385" t="str">
            <v>AM</v>
          </cell>
          <cell r="H1385">
            <v>580</v>
          </cell>
          <cell r="I1385">
            <v>13000</v>
          </cell>
        </row>
        <row r="1386">
          <cell r="A1386">
            <v>44682</v>
          </cell>
          <cell r="B1386" t="str">
            <v>Khamis Almakrani</v>
          </cell>
          <cell r="E1386" t="str">
            <v>KA-AUH</v>
          </cell>
          <cell r="F1386" t="str">
            <v>AM</v>
          </cell>
          <cell r="H1386">
            <v>260</v>
          </cell>
          <cell r="I1386">
            <v>10000</v>
          </cell>
        </row>
        <row r="1387">
          <cell r="A1387">
            <v>44682</v>
          </cell>
          <cell r="B1387" t="str">
            <v>Ahmed Almansoori</v>
          </cell>
          <cell r="E1387" t="str">
            <v>KA-AUH</v>
          </cell>
          <cell r="F1387" t="str">
            <v>AM</v>
          </cell>
          <cell r="H1387">
            <v>350</v>
          </cell>
          <cell r="I1387">
            <v>12000</v>
          </cell>
        </row>
        <row r="1388">
          <cell r="A1388">
            <v>44682</v>
          </cell>
          <cell r="B1388" t="str">
            <v>Khaled Alshamsi</v>
          </cell>
          <cell r="E1388" t="str">
            <v>KA-AUH</v>
          </cell>
          <cell r="F1388" t="str">
            <v>AM</v>
          </cell>
          <cell r="H1388">
            <v>450</v>
          </cell>
          <cell r="I1388">
            <v>12000</v>
          </cell>
        </row>
        <row r="1389">
          <cell r="A1389">
            <v>44682</v>
          </cell>
          <cell r="B1389" t="str">
            <v>Omar AlHammadi</v>
          </cell>
          <cell r="E1389" t="str">
            <v>KA-AUH</v>
          </cell>
          <cell r="F1389" t="str">
            <v>AM</v>
          </cell>
          <cell r="H1389">
            <v>290</v>
          </cell>
          <cell r="I1389">
            <v>11000</v>
          </cell>
        </row>
        <row r="1390">
          <cell r="A1390">
            <v>44682</v>
          </cell>
          <cell r="B1390" t="str">
            <v>Yousef Alhosani</v>
          </cell>
          <cell r="E1390" t="str">
            <v>KA-AUH</v>
          </cell>
          <cell r="F1390" t="str">
            <v>AM</v>
          </cell>
          <cell r="H1390">
            <v>70</v>
          </cell>
          <cell r="I1390">
            <v>1000</v>
          </cell>
        </row>
        <row r="1391">
          <cell r="A1391">
            <v>44682</v>
          </cell>
          <cell r="B1391" t="str">
            <v>Humaid Almaazmi</v>
          </cell>
          <cell r="E1391" t="str">
            <v>KA-AUH</v>
          </cell>
          <cell r="F1391" t="str">
            <v>AM</v>
          </cell>
          <cell r="H1391">
            <v>70</v>
          </cell>
          <cell r="I1391">
            <v>1000</v>
          </cell>
        </row>
        <row r="1392">
          <cell r="A1392">
            <v>44682</v>
          </cell>
          <cell r="B1392" t="str">
            <v>Abdulla Alhashmi</v>
          </cell>
          <cell r="E1392" t="str">
            <v>KA-AUH</v>
          </cell>
          <cell r="F1392" t="str">
            <v>AM</v>
          </cell>
          <cell r="H1392">
            <v>280</v>
          </cell>
          <cell r="I1392">
            <v>10000</v>
          </cell>
        </row>
        <row r="1393">
          <cell r="A1393">
            <v>44682</v>
          </cell>
          <cell r="B1393" t="str">
            <v>Mazen Adem</v>
          </cell>
          <cell r="E1393" t="str">
            <v>KA</v>
          </cell>
          <cell r="F1393" t="str">
            <v>D</v>
          </cell>
          <cell r="H1393">
            <v>1500</v>
          </cell>
          <cell r="I1393">
            <v>100000</v>
          </cell>
        </row>
        <row r="1394">
          <cell r="A1394">
            <v>44682</v>
          </cell>
          <cell r="B1394" t="str">
            <v>Abdel Azim Sharabati</v>
          </cell>
          <cell r="E1394" t="str">
            <v>KA</v>
          </cell>
          <cell r="F1394" t="str">
            <v>AM</v>
          </cell>
          <cell r="H1394">
            <v>250</v>
          </cell>
          <cell r="I1394">
            <v>18000</v>
          </cell>
        </row>
        <row r="1395">
          <cell r="A1395">
            <v>44682</v>
          </cell>
          <cell r="B1395" t="str">
            <v>Abraham Cherian</v>
          </cell>
          <cell r="E1395" t="str">
            <v>KA</v>
          </cell>
          <cell r="F1395" t="str">
            <v>AM</v>
          </cell>
          <cell r="H1395">
            <v>250</v>
          </cell>
          <cell r="I1395">
            <v>18000</v>
          </cell>
        </row>
        <row r="1396">
          <cell r="A1396">
            <v>44682</v>
          </cell>
          <cell r="B1396" t="str">
            <v>Arjun Subaraman</v>
          </cell>
          <cell r="E1396" t="str">
            <v>KA</v>
          </cell>
          <cell r="F1396" t="str">
            <v>AM</v>
          </cell>
          <cell r="H1396">
            <v>200</v>
          </cell>
          <cell r="I1396">
            <v>20000</v>
          </cell>
        </row>
        <row r="1397">
          <cell r="A1397">
            <v>44682</v>
          </cell>
          <cell r="B1397" t="str">
            <v>Ghassan Fouany</v>
          </cell>
          <cell r="E1397" t="str">
            <v>KA</v>
          </cell>
          <cell r="F1397" t="str">
            <v>AM</v>
          </cell>
          <cell r="H1397">
            <v>400</v>
          </cell>
          <cell r="I1397">
            <v>13000</v>
          </cell>
        </row>
        <row r="1398">
          <cell r="A1398">
            <v>44682</v>
          </cell>
          <cell r="B1398" t="str">
            <v>Inayat Fazili</v>
          </cell>
          <cell r="E1398" t="str">
            <v>KA</v>
          </cell>
          <cell r="F1398" t="str">
            <v>AM</v>
          </cell>
          <cell r="H1398">
            <v>250</v>
          </cell>
          <cell r="I1398">
            <v>18000</v>
          </cell>
        </row>
        <row r="1399">
          <cell r="A1399">
            <v>44682</v>
          </cell>
          <cell r="B1399" t="str">
            <v>Mohd Sheikh Salem</v>
          </cell>
          <cell r="E1399" t="str">
            <v>KA</v>
          </cell>
          <cell r="F1399" t="str">
            <v>AM</v>
          </cell>
          <cell r="H1399">
            <v>150</v>
          </cell>
          <cell r="I1399">
            <v>13000</v>
          </cell>
        </row>
        <row r="1400">
          <cell r="A1400">
            <v>44682</v>
          </cell>
          <cell r="B1400" t="str">
            <v>Mustafa Shalabi</v>
          </cell>
          <cell r="E1400" t="str">
            <v>FCR</v>
          </cell>
          <cell r="F1400" t="str">
            <v>D</v>
          </cell>
          <cell r="H1400">
            <v>1674.7937600272246</v>
          </cell>
          <cell r="I1400">
            <v>139436.61971830987</v>
          </cell>
        </row>
        <row r="1401">
          <cell r="A1401">
            <v>44682</v>
          </cell>
          <cell r="B1401" t="str">
            <v>Eslam Hassan</v>
          </cell>
          <cell r="E1401" t="str">
            <v>FCR</v>
          </cell>
          <cell r="F1401" t="str">
            <v>AM</v>
          </cell>
          <cell r="H1401">
            <v>123</v>
          </cell>
          <cell r="I1401">
            <v>11435</v>
          </cell>
        </row>
        <row r="1402">
          <cell r="A1402">
            <v>44682</v>
          </cell>
          <cell r="B1402" t="str">
            <v>Mohamad Labban</v>
          </cell>
          <cell r="E1402" t="str">
            <v>FCR</v>
          </cell>
          <cell r="F1402" t="str">
            <v>AM</v>
          </cell>
          <cell r="H1402">
            <v>127</v>
          </cell>
          <cell r="I1402">
            <v>13367</v>
          </cell>
        </row>
        <row r="1403">
          <cell r="A1403">
            <v>44682</v>
          </cell>
          <cell r="B1403" t="str">
            <v>Mohamed Mostafa</v>
          </cell>
          <cell r="E1403" t="str">
            <v>FCR</v>
          </cell>
          <cell r="F1403" t="str">
            <v>AM</v>
          </cell>
          <cell r="H1403">
            <v>123</v>
          </cell>
          <cell r="I1403">
            <v>11435</v>
          </cell>
        </row>
        <row r="1404">
          <cell r="A1404">
            <v>44682</v>
          </cell>
          <cell r="B1404" t="str">
            <v>Nadeem Rasheed</v>
          </cell>
          <cell r="E1404" t="str">
            <v>FCR</v>
          </cell>
          <cell r="F1404" t="str">
            <v>AM</v>
          </cell>
          <cell r="H1404">
            <v>195</v>
          </cell>
          <cell r="I1404">
            <v>13367</v>
          </cell>
        </row>
        <row r="1405">
          <cell r="A1405">
            <v>44682</v>
          </cell>
          <cell r="B1405" t="str">
            <v>Othman Hassan</v>
          </cell>
          <cell r="E1405" t="str">
            <v>FCR</v>
          </cell>
          <cell r="F1405" t="str">
            <v>AM</v>
          </cell>
          <cell r="H1405">
            <v>113</v>
          </cell>
          <cell r="I1405">
            <v>11435</v>
          </cell>
        </row>
        <row r="1406">
          <cell r="A1406">
            <v>44682</v>
          </cell>
          <cell r="B1406" t="str">
            <v>Ranjith Chandran</v>
          </cell>
          <cell r="E1406" t="str">
            <v>FCR</v>
          </cell>
          <cell r="F1406" t="str">
            <v>AM</v>
          </cell>
          <cell r="H1406">
            <v>155</v>
          </cell>
          <cell r="I1406">
            <v>10058</v>
          </cell>
        </row>
        <row r="1407">
          <cell r="A1407">
            <v>44682</v>
          </cell>
          <cell r="B1407" t="str">
            <v>Richard Chandy</v>
          </cell>
          <cell r="E1407" t="str">
            <v>FCR</v>
          </cell>
          <cell r="F1407" t="str">
            <v>AM</v>
          </cell>
          <cell r="H1407">
            <v>155</v>
          </cell>
          <cell r="I1407">
            <v>10058</v>
          </cell>
        </row>
        <row r="1408">
          <cell r="A1408">
            <v>44682</v>
          </cell>
          <cell r="B1408" t="str">
            <v>Rijith Menon</v>
          </cell>
          <cell r="E1408" t="str">
            <v>FCR</v>
          </cell>
          <cell r="F1408" t="str">
            <v>AM</v>
          </cell>
          <cell r="H1408">
            <v>195</v>
          </cell>
          <cell r="I1408">
            <v>10058</v>
          </cell>
        </row>
        <row r="1409">
          <cell r="A1409">
            <v>44682</v>
          </cell>
          <cell r="B1409" t="str">
            <v>Simon Williams</v>
          </cell>
          <cell r="E1409" t="str">
            <v>FCR</v>
          </cell>
          <cell r="F1409" t="str">
            <v>AM</v>
          </cell>
          <cell r="H1409">
            <v>127</v>
          </cell>
          <cell r="I1409">
            <v>15296</v>
          </cell>
        </row>
        <row r="1410">
          <cell r="A1410">
            <v>44682</v>
          </cell>
          <cell r="B1410" t="str">
            <v>Usman Zafar Sipra</v>
          </cell>
          <cell r="E1410" t="str">
            <v>FCR</v>
          </cell>
          <cell r="F1410" t="str">
            <v>AM</v>
          </cell>
          <cell r="H1410">
            <v>116</v>
          </cell>
          <cell r="I1410">
            <v>10058</v>
          </cell>
        </row>
        <row r="1411">
          <cell r="A1411">
            <v>44682</v>
          </cell>
          <cell r="B1411" t="str">
            <v>Farha Hameed</v>
          </cell>
          <cell r="E1411" t="str">
            <v>FCR</v>
          </cell>
          <cell r="F1411" t="str">
            <v>AM</v>
          </cell>
          <cell r="H1411">
            <v>123</v>
          </cell>
          <cell r="I1411">
            <v>11435</v>
          </cell>
        </row>
        <row r="1412">
          <cell r="A1412">
            <v>44682</v>
          </cell>
          <cell r="B1412" t="str">
            <v>Vineeth Augustine</v>
          </cell>
          <cell r="E1412" t="str">
            <v>FCR</v>
          </cell>
          <cell r="F1412" t="str">
            <v>AM</v>
          </cell>
          <cell r="H1412">
            <v>123</v>
          </cell>
          <cell r="I1412">
            <v>11435</v>
          </cell>
        </row>
        <row r="1413">
          <cell r="A1413">
            <v>44682</v>
          </cell>
          <cell r="B1413" t="str">
            <v>Maitha Bin Malek</v>
          </cell>
          <cell r="E1413" t="str">
            <v>HHTT</v>
          </cell>
          <cell r="F1413" t="str">
            <v>D</v>
          </cell>
          <cell r="H1413">
            <v>1106.3418633756485</v>
          </cell>
          <cell r="I1413">
            <v>112323.94366197183</v>
          </cell>
        </row>
        <row r="1414">
          <cell r="A1414">
            <v>44682</v>
          </cell>
          <cell r="B1414" t="str">
            <v>Atef Kassem</v>
          </cell>
          <cell r="E1414" t="str">
            <v>HHTT</v>
          </cell>
          <cell r="F1414" t="str">
            <v>AM</v>
          </cell>
          <cell r="H1414">
            <v>105</v>
          </cell>
          <cell r="I1414">
            <v>11000</v>
          </cell>
        </row>
        <row r="1415">
          <cell r="A1415">
            <v>44682</v>
          </cell>
          <cell r="B1415" t="str">
            <v>Bashar Al Adilee</v>
          </cell>
          <cell r="E1415" t="str">
            <v>HHTT</v>
          </cell>
          <cell r="F1415" t="str">
            <v>AM</v>
          </cell>
          <cell r="H1415">
            <v>125</v>
          </cell>
          <cell r="I1415">
            <v>15000</v>
          </cell>
        </row>
        <row r="1416">
          <cell r="A1416">
            <v>44682</v>
          </cell>
          <cell r="B1416" t="str">
            <v>Favas Kurinhilayil</v>
          </cell>
          <cell r="E1416" t="str">
            <v>HHTT</v>
          </cell>
          <cell r="F1416" t="str">
            <v>AM</v>
          </cell>
          <cell r="H1416">
            <v>135</v>
          </cell>
          <cell r="I1416">
            <v>12000</v>
          </cell>
        </row>
        <row r="1417">
          <cell r="A1417">
            <v>44682</v>
          </cell>
          <cell r="B1417" t="str">
            <v>Feroz Shaikh</v>
          </cell>
          <cell r="E1417" t="str">
            <v>HHTT</v>
          </cell>
          <cell r="F1417" t="str">
            <v>AM</v>
          </cell>
          <cell r="H1417">
            <v>128</v>
          </cell>
          <cell r="I1417">
            <v>11000</v>
          </cell>
        </row>
        <row r="1418">
          <cell r="A1418">
            <v>44682</v>
          </cell>
          <cell r="B1418" t="str">
            <v>Muhammad Nauman Khan</v>
          </cell>
          <cell r="E1418" t="str">
            <v>HHTT</v>
          </cell>
          <cell r="F1418" t="str">
            <v>AM</v>
          </cell>
          <cell r="H1418">
            <v>110</v>
          </cell>
          <cell r="I1418">
            <v>15000</v>
          </cell>
        </row>
        <row r="1419">
          <cell r="A1419">
            <v>44682</v>
          </cell>
          <cell r="B1419" t="str">
            <v>Mushahid Hussain Syed</v>
          </cell>
          <cell r="E1419" t="str">
            <v>HHTT</v>
          </cell>
          <cell r="F1419" t="str">
            <v>AM</v>
          </cell>
          <cell r="H1419">
            <v>95</v>
          </cell>
          <cell r="I1419">
            <v>9000</v>
          </cell>
        </row>
        <row r="1420">
          <cell r="A1420">
            <v>44682</v>
          </cell>
          <cell r="B1420" t="str">
            <v>Osama ElWawi</v>
          </cell>
          <cell r="E1420" t="str">
            <v>HHTT</v>
          </cell>
          <cell r="F1420" t="str">
            <v>AM</v>
          </cell>
          <cell r="H1420">
            <v>80</v>
          </cell>
          <cell r="I1420">
            <v>5000</v>
          </cell>
        </row>
        <row r="1421">
          <cell r="A1421">
            <v>44682</v>
          </cell>
          <cell r="B1421" t="str">
            <v>Ramez Al Alami</v>
          </cell>
          <cell r="E1421" t="str">
            <v>HHTT</v>
          </cell>
          <cell r="F1421" t="str">
            <v>AM</v>
          </cell>
          <cell r="H1421">
            <v>125</v>
          </cell>
          <cell r="I1421">
            <v>15000</v>
          </cell>
        </row>
        <row r="1422">
          <cell r="A1422">
            <v>44682</v>
          </cell>
          <cell r="B1422" t="str">
            <v>Ramy Abdel Fattah</v>
          </cell>
          <cell r="E1422" t="str">
            <v>HHTT</v>
          </cell>
          <cell r="F1422" t="str">
            <v>AM</v>
          </cell>
          <cell r="H1422">
            <v>105</v>
          </cell>
          <cell r="I1422">
            <v>11000</v>
          </cell>
        </row>
        <row r="1423">
          <cell r="A1423">
            <v>44682</v>
          </cell>
          <cell r="B1423" t="str">
            <v>Junaid Warris</v>
          </cell>
          <cell r="E1423" t="str">
            <v>HHTT</v>
          </cell>
          <cell r="F1423" t="str">
            <v>AM</v>
          </cell>
          <cell r="H1423">
            <v>98</v>
          </cell>
          <cell r="I1423">
            <v>8324</v>
          </cell>
        </row>
        <row r="1424">
          <cell r="A1424">
            <v>44682</v>
          </cell>
          <cell r="B1424" t="str">
            <v>Hamzah Nofal</v>
          </cell>
          <cell r="E1424" t="str">
            <v>HUNT</v>
          </cell>
          <cell r="F1424" t="str">
            <v>D</v>
          </cell>
          <cell r="H1424">
            <v>614.73139054179683</v>
          </cell>
          <cell r="I1424">
            <v>65845.070422535209</v>
          </cell>
        </row>
        <row r="1425">
          <cell r="A1425">
            <v>44682</v>
          </cell>
          <cell r="B1425" t="str">
            <v>AlMas Zaheer</v>
          </cell>
          <cell r="E1425" t="str">
            <v>HUNT</v>
          </cell>
          <cell r="F1425" t="str">
            <v>AM</v>
          </cell>
          <cell r="H1425">
            <v>90</v>
          </cell>
          <cell r="I1425">
            <v>9000</v>
          </cell>
        </row>
        <row r="1426">
          <cell r="A1426">
            <v>44682</v>
          </cell>
          <cell r="B1426" t="str">
            <v>Iqbal Hussain</v>
          </cell>
          <cell r="E1426" t="str">
            <v>HUNT</v>
          </cell>
          <cell r="F1426" t="str">
            <v>AM</v>
          </cell>
          <cell r="H1426">
            <v>30</v>
          </cell>
          <cell r="I1426">
            <v>13000</v>
          </cell>
        </row>
        <row r="1427">
          <cell r="A1427">
            <v>44682</v>
          </cell>
          <cell r="B1427" t="str">
            <v>Mohamed Kishk</v>
          </cell>
          <cell r="E1427" t="str">
            <v>HUNT</v>
          </cell>
          <cell r="F1427" t="str">
            <v>AM</v>
          </cell>
          <cell r="H1427">
            <v>75</v>
          </cell>
          <cell r="I1427">
            <v>11000</v>
          </cell>
        </row>
        <row r="1428">
          <cell r="A1428">
            <v>44682</v>
          </cell>
          <cell r="B1428" t="str">
            <v>Muhammad Ismail</v>
          </cell>
          <cell r="E1428" t="str">
            <v>HUNT</v>
          </cell>
          <cell r="F1428" t="str">
            <v>AM</v>
          </cell>
          <cell r="H1428">
            <v>75</v>
          </cell>
          <cell r="I1428">
            <v>11000</v>
          </cell>
        </row>
        <row r="1429">
          <cell r="A1429">
            <v>44682</v>
          </cell>
          <cell r="B1429" t="str">
            <v>Mushtaq Ahamad</v>
          </cell>
          <cell r="E1429" t="str">
            <v>HUNT</v>
          </cell>
          <cell r="F1429" t="str">
            <v>AM</v>
          </cell>
          <cell r="H1429">
            <v>100</v>
          </cell>
          <cell r="I1429">
            <v>5000</v>
          </cell>
        </row>
        <row r="1430">
          <cell r="A1430">
            <v>44682</v>
          </cell>
          <cell r="B1430" t="str">
            <v>Nasir Khan</v>
          </cell>
          <cell r="E1430" t="str">
            <v>HUNT</v>
          </cell>
          <cell r="F1430" t="str">
            <v>AM</v>
          </cell>
          <cell r="H1430">
            <v>90</v>
          </cell>
          <cell r="I1430">
            <v>9000</v>
          </cell>
        </row>
        <row r="1431">
          <cell r="A1431">
            <v>44682</v>
          </cell>
          <cell r="B1431" t="str">
            <v>Shiraz Niazi</v>
          </cell>
          <cell r="E1431" t="str">
            <v>HUNT</v>
          </cell>
          <cell r="F1431" t="str">
            <v>AM</v>
          </cell>
          <cell r="H1431">
            <v>90</v>
          </cell>
          <cell r="I1431">
            <v>9000</v>
          </cell>
        </row>
        <row r="1432">
          <cell r="A1432">
            <v>44682</v>
          </cell>
          <cell r="B1432" t="str">
            <v>Wasim Raja</v>
          </cell>
          <cell r="E1432" t="str">
            <v>HUNT</v>
          </cell>
          <cell r="F1432" t="str">
            <v>AM</v>
          </cell>
          <cell r="H1432">
            <v>90</v>
          </cell>
          <cell r="I1432">
            <v>9000</v>
          </cell>
        </row>
        <row r="1433">
          <cell r="A1433">
            <v>44682</v>
          </cell>
          <cell r="B1433" t="str">
            <v>Imran Malik</v>
          </cell>
          <cell r="E1433" t="str">
            <v>RCOGM</v>
          </cell>
          <cell r="F1433" t="str">
            <v>D</v>
          </cell>
          <cell r="H1433">
            <v>1389</v>
          </cell>
          <cell r="I1433">
            <v>100704</v>
          </cell>
        </row>
        <row r="1434">
          <cell r="A1434">
            <v>44682</v>
          </cell>
          <cell r="B1434" t="str">
            <v>Adnan Bashir</v>
          </cell>
          <cell r="E1434" t="str">
            <v>RCOGM</v>
          </cell>
          <cell r="F1434" t="str">
            <v>AM</v>
          </cell>
          <cell r="H1434">
            <v>86</v>
          </cell>
          <cell r="I1434">
            <v>1000</v>
          </cell>
        </row>
        <row r="1435">
          <cell r="A1435">
            <v>44682</v>
          </cell>
          <cell r="B1435" t="str">
            <v>Ali Alzarooni</v>
          </cell>
          <cell r="E1435" t="str">
            <v>RCOGM</v>
          </cell>
          <cell r="F1435" t="str">
            <v>AM</v>
          </cell>
          <cell r="H1435">
            <v>135</v>
          </cell>
          <cell r="I1435">
            <v>7704</v>
          </cell>
        </row>
        <row r="1436">
          <cell r="A1436">
            <v>44682</v>
          </cell>
          <cell r="B1436" t="str">
            <v>Ali Shahin</v>
          </cell>
          <cell r="E1436" t="str">
            <v>RCOGM</v>
          </cell>
          <cell r="F1436" t="str">
            <v>AM</v>
          </cell>
          <cell r="H1436">
            <v>154</v>
          </cell>
          <cell r="I1436">
            <v>12000</v>
          </cell>
        </row>
        <row r="1437">
          <cell r="A1437">
            <v>44682</v>
          </cell>
          <cell r="B1437" t="str">
            <v>Ammar Aladily</v>
          </cell>
          <cell r="E1437" t="str">
            <v>RCOGM</v>
          </cell>
          <cell r="F1437" t="str">
            <v>AM</v>
          </cell>
          <cell r="H1437">
            <v>175</v>
          </cell>
          <cell r="I1437">
            <v>18000</v>
          </cell>
        </row>
        <row r="1438">
          <cell r="A1438">
            <v>44682</v>
          </cell>
          <cell r="B1438" t="str">
            <v>Ayaz Zargar</v>
          </cell>
          <cell r="E1438" t="str">
            <v>RCOGM</v>
          </cell>
          <cell r="F1438" t="str">
            <v>AM</v>
          </cell>
          <cell r="H1438">
            <v>135</v>
          </cell>
          <cell r="I1438">
            <v>12000</v>
          </cell>
        </row>
        <row r="1439">
          <cell r="A1439">
            <v>44682</v>
          </cell>
          <cell r="B1439" t="str">
            <v>Danish Shabir</v>
          </cell>
          <cell r="E1439" t="str">
            <v>RCOGM</v>
          </cell>
          <cell r="F1439" t="str">
            <v>AM</v>
          </cell>
          <cell r="H1439">
            <v>88</v>
          </cell>
          <cell r="I1439">
            <v>1000</v>
          </cell>
        </row>
        <row r="1440">
          <cell r="A1440">
            <v>44682</v>
          </cell>
          <cell r="B1440" t="str">
            <v>Sana Shaikh</v>
          </cell>
          <cell r="E1440" t="str">
            <v>RCOGM</v>
          </cell>
          <cell r="F1440" t="str">
            <v>AM</v>
          </cell>
          <cell r="H1440">
            <v>135</v>
          </cell>
          <cell r="I1440">
            <v>12000</v>
          </cell>
        </row>
        <row r="1441">
          <cell r="A1441">
            <v>44682</v>
          </cell>
          <cell r="B1441" t="str">
            <v>Shabbir Lacewala</v>
          </cell>
          <cell r="E1441" t="str">
            <v>RCOGM</v>
          </cell>
          <cell r="F1441" t="str">
            <v>AM</v>
          </cell>
          <cell r="H1441">
            <v>154</v>
          </cell>
          <cell r="I1441">
            <v>12000</v>
          </cell>
        </row>
        <row r="1442">
          <cell r="A1442">
            <v>44682</v>
          </cell>
          <cell r="B1442" t="str">
            <v>Shadab Sheikh</v>
          </cell>
          <cell r="E1442" t="str">
            <v>RCOGM</v>
          </cell>
          <cell r="F1442" t="str">
            <v>AM</v>
          </cell>
          <cell r="H1442">
            <v>135</v>
          </cell>
          <cell r="I1442">
            <v>12000</v>
          </cell>
        </row>
        <row r="1443">
          <cell r="A1443">
            <v>44682</v>
          </cell>
          <cell r="B1443" t="str">
            <v>Waseem Choudhary</v>
          </cell>
          <cell r="E1443" t="str">
            <v>RCOGM</v>
          </cell>
          <cell r="F1443" t="str">
            <v>AM</v>
          </cell>
          <cell r="H1443">
            <v>135</v>
          </cell>
          <cell r="I1443">
            <v>12000</v>
          </cell>
        </row>
        <row r="1444">
          <cell r="A1444">
            <v>44682</v>
          </cell>
          <cell r="B1444" t="str">
            <v>Aijaz Darzi</v>
          </cell>
          <cell r="E1444" t="str">
            <v>RCOGM</v>
          </cell>
          <cell r="F1444" t="str">
            <v>AM</v>
          </cell>
          <cell r="H1444">
            <v>57</v>
          </cell>
          <cell r="I1444">
            <v>1000</v>
          </cell>
        </row>
        <row r="1445">
          <cell r="A1445">
            <v>44682</v>
          </cell>
          <cell r="B1445" t="str">
            <v>Hany Jawee</v>
          </cell>
          <cell r="E1445" t="str">
            <v>TME</v>
          </cell>
          <cell r="F1445" t="str">
            <v>D</v>
          </cell>
          <cell r="H1445">
            <v>1415.4539546424041</v>
          </cell>
          <cell r="I1445">
            <v>131690.14084507042</v>
          </cell>
        </row>
        <row r="1446">
          <cell r="A1446">
            <v>44682</v>
          </cell>
          <cell r="B1446" t="str">
            <v>Ahmad Ozdamir</v>
          </cell>
          <cell r="E1446" t="str">
            <v>TME</v>
          </cell>
          <cell r="F1446" t="str">
            <v>AM</v>
          </cell>
          <cell r="H1446">
            <v>57.003036785190503</v>
          </cell>
          <cell r="I1446">
            <v>7880.1983078139101</v>
          </cell>
        </row>
        <row r="1447">
          <cell r="A1447">
            <v>44682</v>
          </cell>
          <cell r="B1447" t="str">
            <v>Ahmed AlShehhi</v>
          </cell>
          <cell r="E1447" t="str">
            <v>TME</v>
          </cell>
          <cell r="F1447" t="str">
            <v>AM</v>
          </cell>
          <cell r="H1447">
            <v>57.003036785190503</v>
          </cell>
          <cell r="I1447">
            <v>6880.198307813911</v>
          </cell>
        </row>
        <row r="1448">
          <cell r="A1448">
            <v>44682</v>
          </cell>
          <cell r="B1448" t="str">
            <v>Amjad Ilwan</v>
          </cell>
          <cell r="E1448" t="str">
            <v>TME</v>
          </cell>
          <cell r="F1448" t="str">
            <v>AM</v>
          </cell>
          <cell r="H1448">
            <v>57.985017841888599</v>
          </cell>
          <cell r="I1448">
            <v>17880.198307813898</v>
          </cell>
        </row>
        <row r="1449">
          <cell r="A1449">
            <v>44682</v>
          </cell>
          <cell r="B1449" t="str">
            <v>Anastasia Maltseva</v>
          </cell>
          <cell r="E1449" t="str">
            <v>TME</v>
          </cell>
          <cell r="F1449" t="str">
            <v>AM</v>
          </cell>
          <cell r="H1449">
            <v>57.003036785190503</v>
          </cell>
          <cell r="I1449">
            <v>6880.198307813911</v>
          </cell>
        </row>
        <row r="1450">
          <cell r="A1450">
            <v>44682</v>
          </cell>
          <cell r="B1450" t="str">
            <v>Buhari Buhari</v>
          </cell>
          <cell r="E1450" t="str">
            <v>TME</v>
          </cell>
          <cell r="F1450" t="str">
            <v>AM</v>
          </cell>
          <cell r="H1450">
            <v>57.003036785190503</v>
          </cell>
          <cell r="I1450">
            <v>6528.0055292196002</v>
          </cell>
        </row>
        <row r="1451">
          <cell r="A1451">
            <v>44682</v>
          </cell>
          <cell r="B1451" t="str">
            <v>Ehab Hajou</v>
          </cell>
          <cell r="E1451" t="str">
            <v>TME</v>
          </cell>
          <cell r="F1451" t="str">
            <v>AM</v>
          </cell>
          <cell r="H1451">
            <v>57.003036785190503</v>
          </cell>
          <cell r="I1451">
            <v>8758.4924458471087</v>
          </cell>
        </row>
        <row r="1452">
          <cell r="A1452">
            <v>44682</v>
          </cell>
          <cell r="B1452" t="str">
            <v>Fadi Saleh</v>
          </cell>
          <cell r="E1452" t="str">
            <v>TME</v>
          </cell>
          <cell r="F1452" t="str">
            <v>AM</v>
          </cell>
          <cell r="H1452">
            <v>57.003036785190503</v>
          </cell>
          <cell r="I1452">
            <v>8880.1983078139092</v>
          </cell>
        </row>
        <row r="1453">
          <cell r="A1453">
            <v>44682</v>
          </cell>
          <cell r="B1453" t="str">
            <v>Jeevantha Ranasinghe</v>
          </cell>
          <cell r="E1453" t="str">
            <v>TME</v>
          </cell>
          <cell r="F1453" t="str">
            <v>AM</v>
          </cell>
          <cell r="H1453">
            <v>57.003036785190503</v>
          </cell>
          <cell r="I1453">
            <v>8880.1983078139092</v>
          </cell>
        </row>
        <row r="1454">
          <cell r="A1454">
            <v>44682</v>
          </cell>
          <cell r="B1454" t="str">
            <v>Khalid Mohammed</v>
          </cell>
          <cell r="E1454" t="str">
            <v>TME</v>
          </cell>
          <cell r="F1454" t="str">
            <v>AM</v>
          </cell>
          <cell r="H1454">
            <v>317.99941957487101</v>
          </cell>
          <cell r="I1454">
            <v>3880.1983078139101</v>
          </cell>
        </row>
        <row r="1455">
          <cell r="A1455">
            <v>44682</v>
          </cell>
          <cell r="B1455" t="str">
            <v>Sara Alblooshi</v>
          </cell>
          <cell r="E1455" t="str">
            <v>TME</v>
          </cell>
          <cell r="F1455" t="str">
            <v>AM</v>
          </cell>
          <cell r="H1455">
            <v>57.003036785190503</v>
          </cell>
          <cell r="I1455">
            <v>6880.198307813911</v>
          </cell>
        </row>
        <row r="1456">
          <cell r="A1456">
            <v>44682</v>
          </cell>
          <cell r="B1456" t="str">
            <v>Suleiman Wanni</v>
          </cell>
          <cell r="E1456" t="str">
            <v>TME</v>
          </cell>
          <cell r="F1456" t="str">
            <v>AM</v>
          </cell>
          <cell r="H1456">
            <v>526.44218615892999</v>
          </cell>
          <cell r="I1456">
            <v>40329.732068994301</v>
          </cell>
        </row>
        <row r="1457">
          <cell r="A1457">
            <v>44682</v>
          </cell>
          <cell r="B1457" t="str">
            <v>Waseem Suhaf</v>
          </cell>
          <cell r="E1457" t="str">
            <v>TME</v>
          </cell>
          <cell r="F1457" t="str">
            <v>AM</v>
          </cell>
          <cell r="H1457">
            <v>57.003036785190503</v>
          </cell>
          <cell r="I1457">
            <v>8032.3243384980997</v>
          </cell>
        </row>
        <row r="1458">
          <cell r="A1458">
            <v>44713</v>
          </cell>
          <cell r="B1458" t="str">
            <v>Mustafa Shalabi</v>
          </cell>
          <cell r="E1458" t="str">
            <v>FCR</v>
          </cell>
          <cell r="F1458" t="str">
            <v>D</v>
          </cell>
          <cell r="H1458">
            <v>1420.6401290542133</v>
          </cell>
          <cell r="I1458">
            <v>164788.7323943662</v>
          </cell>
        </row>
        <row r="1459">
          <cell r="A1459">
            <v>44713</v>
          </cell>
          <cell r="B1459" t="str">
            <v>Eslam Hassan</v>
          </cell>
          <cell r="E1459" t="str">
            <v>FCR</v>
          </cell>
          <cell r="F1459" t="str">
            <v>AM</v>
          </cell>
          <cell r="H1459">
            <v>85</v>
          </cell>
          <cell r="I1459">
            <v>23903</v>
          </cell>
        </row>
        <row r="1460">
          <cell r="A1460">
            <v>44713</v>
          </cell>
          <cell r="B1460" t="str">
            <v>Mohamad Labban</v>
          </cell>
          <cell r="E1460" t="str">
            <v>FCR</v>
          </cell>
          <cell r="F1460" t="str">
            <v>AM</v>
          </cell>
          <cell r="H1460">
            <v>187</v>
          </cell>
          <cell r="I1460">
            <v>11783</v>
          </cell>
        </row>
        <row r="1461">
          <cell r="A1461">
            <v>44713</v>
          </cell>
          <cell r="B1461" t="str">
            <v>Mohamed Mostafa</v>
          </cell>
          <cell r="E1461" t="str">
            <v>FCR</v>
          </cell>
          <cell r="F1461" t="str">
            <v>AM</v>
          </cell>
          <cell r="H1461">
            <v>143</v>
          </cell>
          <cell r="I1461">
            <v>9982</v>
          </cell>
        </row>
        <row r="1462">
          <cell r="A1462">
            <v>44713</v>
          </cell>
          <cell r="B1462" t="str">
            <v>Nadeem Rasheed</v>
          </cell>
          <cell r="E1462" t="str">
            <v>FCR</v>
          </cell>
          <cell r="F1462" t="str">
            <v>AM</v>
          </cell>
          <cell r="H1462">
            <v>85</v>
          </cell>
          <cell r="I1462">
            <v>25812</v>
          </cell>
        </row>
        <row r="1463">
          <cell r="A1463">
            <v>44713</v>
          </cell>
          <cell r="B1463" t="str">
            <v>Othman Hassan</v>
          </cell>
          <cell r="E1463" t="str">
            <v>FCR</v>
          </cell>
          <cell r="F1463" t="str">
            <v>AM</v>
          </cell>
          <cell r="H1463">
            <v>95</v>
          </cell>
          <cell r="I1463">
            <v>12895</v>
          </cell>
        </row>
        <row r="1464">
          <cell r="A1464">
            <v>44713</v>
          </cell>
          <cell r="B1464" t="str">
            <v>Ranjith Chandran</v>
          </cell>
          <cell r="E1464" t="str">
            <v>FCR</v>
          </cell>
          <cell r="F1464" t="str">
            <v>AM</v>
          </cell>
          <cell r="H1464">
            <v>115</v>
          </cell>
          <cell r="I1464">
            <v>9982</v>
          </cell>
        </row>
        <row r="1465">
          <cell r="A1465">
            <v>44713</v>
          </cell>
          <cell r="B1465" t="str">
            <v>Richard Chandy</v>
          </cell>
          <cell r="E1465" t="str">
            <v>FCR</v>
          </cell>
          <cell r="F1465" t="str">
            <v>AM</v>
          </cell>
          <cell r="H1465">
            <v>115</v>
          </cell>
          <cell r="I1465">
            <v>9982</v>
          </cell>
        </row>
        <row r="1466">
          <cell r="A1466">
            <v>44713</v>
          </cell>
          <cell r="B1466" t="str">
            <v>Rijith Menon</v>
          </cell>
          <cell r="E1466" t="str">
            <v>FCR</v>
          </cell>
          <cell r="F1466" t="str">
            <v>AM</v>
          </cell>
          <cell r="H1466">
            <v>95</v>
          </cell>
          <cell r="I1466">
            <v>12895</v>
          </cell>
        </row>
        <row r="1467">
          <cell r="A1467">
            <v>44713</v>
          </cell>
          <cell r="B1467" t="str">
            <v>Simon Williams</v>
          </cell>
          <cell r="E1467" t="str">
            <v>FCR</v>
          </cell>
          <cell r="F1467" t="str">
            <v>AM</v>
          </cell>
          <cell r="H1467">
            <v>196</v>
          </cell>
          <cell r="I1467">
            <v>11783</v>
          </cell>
        </row>
        <row r="1468">
          <cell r="A1468">
            <v>44713</v>
          </cell>
          <cell r="B1468" t="str">
            <v>Usman Zafar Sipra</v>
          </cell>
          <cell r="E1468" t="str">
            <v>FCR</v>
          </cell>
          <cell r="F1468" t="str">
            <v>AM</v>
          </cell>
          <cell r="H1468">
            <v>115</v>
          </cell>
          <cell r="I1468">
            <v>9982</v>
          </cell>
        </row>
        <row r="1469">
          <cell r="A1469">
            <v>44713</v>
          </cell>
          <cell r="B1469" t="str">
            <v>Farha Hameed</v>
          </cell>
          <cell r="E1469" t="str">
            <v>FCR</v>
          </cell>
          <cell r="F1469" t="str">
            <v>AM</v>
          </cell>
          <cell r="H1469">
            <v>95</v>
          </cell>
          <cell r="I1469">
            <v>12895</v>
          </cell>
        </row>
        <row r="1470">
          <cell r="A1470">
            <v>44713</v>
          </cell>
          <cell r="B1470" t="str">
            <v>Vineeth Augustine</v>
          </cell>
          <cell r="E1470" t="str">
            <v>FCR</v>
          </cell>
          <cell r="F1470" t="str">
            <v>AM</v>
          </cell>
          <cell r="H1470">
            <v>95</v>
          </cell>
          <cell r="I1470">
            <v>12895</v>
          </cell>
        </row>
        <row r="1471">
          <cell r="A1471">
            <v>44713</v>
          </cell>
          <cell r="B1471" t="str">
            <v>Maitha Bin Malek</v>
          </cell>
          <cell r="E1471" t="str">
            <v>HHTT</v>
          </cell>
          <cell r="F1471" t="str">
            <v>D</v>
          </cell>
          <cell r="H1471">
            <v>800.21118014165199</v>
          </cell>
          <cell r="I1471">
            <v>132746.47887323945</v>
          </cell>
        </row>
        <row r="1472">
          <cell r="A1472">
            <v>44713</v>
          </cell>
          <cell r="B1472" t="str">
            <v>Atef Kassem</v>
          </cell>
          <cell r="E1472" t="str">
            <v>HHTT</v>
          </cell>
          <cell r="F1472" t="str">
            <v>AM</v>
          </cell>
          <cell r="H1472">
            <v>105</v>
          </cell>
          <cell r="I1472">
            <v>12106</v>
          </cell>
        </row>
        <row r="1473">
          <cell r="A1473">
            <v>44713</v>
          </cell>
          <cell r="B1473" t="str">
            <v>Bashar Al Adilee</v>
          </cell>
          <cell r="E1473" t="str">
            <v>HHTT</v>
          </cell>
          <cell r="F1473" t="str">
            <v>AM</v>
          </cell>
          <cell r="H1473">
            <v>125</v>
          </cell>
          <cell r="I1473">
            <v>15000</v>
          </cell>
        </row>
        <row r="1474">
          <cell r="A1474">
            <v>44713</v>
          </cell>
          <cell r="B1474" t="str">
            <v>Favas Kurinhilayil</v>
          </cell>
          <cell r="E1474" t="str">
            <v>HHTT</v>
          </cell>
          <cell r="F1474" t="str">
            <v>AM</v>
          </cell>
          <cell r="H1474">
            <v>125</v>
          </cell>
          <cell r="I1474">
            <v>12140</v>
          </cell>
        </row>
        <row r="1475">
          <cell r="A1475">
            <v>44713</v>
          </cell>
          <cell r="B1475" t="str">
            <v>Feroz Shaikh</v>
          </cell>
          <cell r="E1475" t="str">
            <v>HHTT</v>
          </cell>
          <cell r="F1475" t="str">
            <v>AM</v>
          </cell>
          <cell r="H1475">
            <v>125</v>
          </cell>
          <cell r="I1475">
            <v>12000</v>
          </cell>
        </row>
        <row r="1476">
          <cell r="A1476">
            <v>44713</v>
          </cell>
          <cell r="B1476" t="str">
            <v>Muhammad Nauman Khan</v>
          </cell>
          <cell r="E1476" t="str">
            <v>HHTT</v>
          </cell>
          <cell r="F1476" t="str">
            <v>AM</v>
          </cell>
          <cell r="H1476">
            <v>105</v>
          </cell>
          <cell r="I1476">
            <v>15000</v>
          </cell>
        </row>
        <row r="1477">
          <cell r="A1477">
            <v>44713</v>
          </cell>
          <cell r="B1477" t="str">
            <v>Mushahid Hussain Syed</v>
          </cell>
          <cell r="E1477" t="str">
            <v>HHTT</v>
          </cell>
          <cell r="F1477" t="str">
            <v>AM</v>
          </cell>
          <cell r="H1477">
            <v>95</v>
          </cell>
          <cell r="I1477">
            <v>10000</v>
          </cell>
        </row>
        <row r="1478">
          <cell r="A1478">
            <v>44713</v>
          </cell>
          <cell r="B1478" t="str">
            <v>Osama ElWawi</v>
          </cell>
          <cell r="E1478" t="str">
            <v>HHTT</v>
          </cell>
          <cell r="F1478" t="str">
            <v>AM</v>
          </cell>
          <cell r="H1478">
            <v>125</v>
          </cell>
          <cell r="I1478">
            <v>15000</v>
          </cell>
        </row>
        <row r="1479">
          <cell r="A1479">
            <v>44713</v>
          </cell>
          <cell r="B1479" t="str">
            <v>Ramez Al Alami</v>
          </cell>
          <cell r="E1479" t="str">
            <v>HHTT</v>
          </cell>
          <cell r="F1479" t="str">
            <v>AM</v>
          </cell>
          <cell r="H1479">
            <v>125</v>
          </cell>
          <cell r="I1479">
            <v>16000</v>
          </cell>
        </row>
        <row r="1480">
          <cell r="A1480">
            <v>44713</v>
          </cell>
          <cell r="B1480" t="str">
            <v>Ramy Abdel Fattah</v>
          </cell>
          <cell r="E1480" t="str">
            <v>HHTT</v>
          </cell>
          <cell r="F1480" t="str">
            <v>AM</v>
          </cell>
          <cell r="H1480">
            <v>105</v>
          </cell>
          <cell r="I1480">
            <v>15500</v>
          </cell>
        </row>
        <row r="1481">
          <cell r="A1481">
            <v>44713</v>
          </cell>
          <cell r="B1481" t="str">
            <v>Junaid Warris</v>
          </cell>
          <cell r="E1481" t="str">
            <v>HHTT</v>
          </cell>
          <cell r="F1481" t="str">
            <v>AM</v>
          </cell>
          <cell r="H1481">
            <v>95</v>
          </cell>
          <cell r="I1481">
            <v>10000</v>
          </cell>
        </row>
        <row r="1482">
          <cell r="A1482">
            <v>44713</v>
          </cell>
          <cell r="B1482" t="str">
            <v>Hamzah Nofal</v>
          </cell>
          <cell r="E1482" t="str">
            <v>HUNT</v>
          </cell>
          <cell r="F1482" t="str">
            <v>D</v>
          </cell>
          <cell r="H1482">
            <v>495.7511214046749</v>
          </cell>
          <cell r="I1482">
            <v>77816.901408450693</v>
          </cell>
        </row>
        <row r="1483">
          <cell r="A1483">
            <v>44713</v>
          </cell>
          <cell r="B1483" t="str">
            <v>AlMas Zaheer</v>
          </cell>
          <cell r="E1483" t="str">
            <v>HUNT</v>
          </cell>
          <cell r="F1483" t="str">
            <v>AM</v>
          </cell>
          <cell r="H1483">
            <v>110</v>
          </cell>
          <cell r="I1483">
            <v>15000</v>
          </cell>
        </row>
        <row r="1484">
          <cell r="A1484">
            <v>44713</v>
          </cell>
          <cell r="B1484" t="str">
            <v>Iqbal Hussain</v>
          </cell>
          <cell r="E1484" t="str">
            <v>HUNT</v>
          </cell>
          <cell r="F1484" t="str">
            <v>AM</v>
          </cell>
          <cell r="H1484">
            <v>120</v>
          </cell>
          <cell r="I1484">
            <v>13500</v>
          </cell>
        </row>
        <row r="1485">
          <cell r="A1485">
            <v>44713</v>
          </cell>
          <cell r="B1485" t="str">
            <v>Mohamed Kishk</v>
          </cell>
          <cell r="E1485" t="str">
            <v>HUNT</v>
          </cell>
          <cell r="F1485" t="str">
            <v>AM</v>
          </cell>
          <cell r="H1485">
            <v>130</v>
          </cell>
          <cell r="I1485">
            <v>11000</v>
          </cell>
        </row>
        <row r="1486">
          <cell r="A1486">
            <v>44713</v>
          </cell>
          <cell r="B1486" t="str">
            <v>Muhammad Ismail</v>
          </cell>
          <cell r="E1486" t="str">
            <v>HUNT</v>
          </cell>
          <cell r="F1486" t="str">
            <v>AM</v>
          </cell>
          <cell r="H1486">
            <v>130</v>
          </cell>
          <cell r="I1486">
            <v>11000</v>
          </cell>
        </row>
        <row r="1487">
          <cell r="A1487">
            <v>44713</v>
          </cell>
          <cell r="B1487" t="str">
            <v>Nasir Khan</v>
          </cell>
          <cell r="E1487" t="str">
            <v>HUNT</v>
          </cell>
          <cell r="F1487" t="str">
            <v>AM</v>
          </cell>
          <cell r="H1487">
            <v>20</v>
          </cell>
          <cell r="I1487">
            <v>2000</v>
          </cell>
        </row>
        <row r="1488">
          <cell r="A1488">
            <v>44713</v>
          </cell>
          <cell r="B1488" t="str">
            <v>Shiraz Niazi</v>
          </cell>
          <cell r="E1488" t="str">
            <v>HUNT</v>
          </cell>
          <cell r="F1488" t="str">
            <v>AM</v>
          </cell>
          <cell r="H1488">
            <v>100</v>
          </cell>
          <cell r="I1488">
            <v>12000</v>
          </cell>
        </row>
        <row r="1489">
          <cell r="A1489">
            <v>44713</v>
          </cell>
          <cell r="B1489" t="str">
            <v>Wasim Raja</v>
          </cell>
          <cell r="E1489" t="str">
            <v>HUNT</v>
          </cell>
          <cell r="F1489" t="str">
            <v>AM</v>
          </cell>
          <cell r="H1489">
            <v>110</v>
          </cell>
          <cell r="I1489">
            <v>15000</v>
          </cell>
        </row>
        <row r="1490">
          <cell r="A1490">
            <v>44713</v>
          </cell>
          <cell r="B1490" t="str">
            <v>Imran Malik</v>
          </cell>
          <cell r="E1490" t="str">
            <v>RCOGM</v>
          </cell>
          <cell r="F1490" t="str">
            <v>D</v>
          </cell>
          <cell r="H1490">
            <v>1120</v>
          </cell>
          <cell r="I1490">
            <v>119014</v>
          </cell>
        </row>
        <row r="1491">
          <cell r="A1491">
            <v>44713</v>
          </cell>
          <cell r="B1491" t="str">
            <v>Adnan Bashir</v>
          </cell>
          <cell r="E1491" t="str">
            <v>RCOGM</v>
          </cell>
          <cell r="F1491" t="str">
            <v>AM</v>
          </cell>
          <cell r="H1491">
            <v>70</v>
          </cell>
          <cell r="I1491">
            <v>2000</v>
          </cell>
        </row>
        <row r="1492">
          <cell r="A1492">
            <v>44713</v>
          </cell>
          <cell r="B1492" t="str">
            <v>Ali Alzarooni</v>
          </cell>
          <cell r="E1492" t="str">
            <v>RCOGM</v>
          </cell>
          <cell r="F1492" t="str">
            <v>AM</v>
          </cell>
          <cell r="H1492">
            <v>105</v>
          </cell>
          <cell r="I1492">
            <v>10000</v>
          </cell>
        </row>
        <row r="1493">
          <cell r="A1493">
            <v>44713</v>
          </cell>
          <cell r="B1493" t="str">
            <v>Ali Shahin</v>
          </cell>
          <cell r="E1493" t="str">
            <v>RCOGM</v>
          </cell>
          <cell r="F1493" t="str">
            <v>AM</v>
          </cell>
          <cell r="H1493">
            <v>135</v>
          </cell>
          <cell r="I1493">
            <v>18000</v>
          </cell>
        </row>
        <row r="1494">
          <cell r="A1494">
            <v>44713</v>
          </cell>
          <cell r="B1494" t="str">
            <v>Ammar Aladily</v>
          </cell>
          <cell r="E1494" t="str">
            <v>RCOGM</v>
          </cell>
          <cell r="F1494" t="str">
            <v>AM</v>
          </cell>
          <cell r="H1494">
            <v>135</v>
          </cell>
          <cell r="I1494">
            <v>18000</v>
          </cell>
        </row>
        <row r="1495">
          <cell r="A1495">
            <v>44713</v>
          </cell>
          <cell r="B1495" t="str">
            <v>Ayaz Zargar</v>
          </cell>
          <cell r="E1495" t="str">
            <v>RCOGM</v>
          </cell>
          <cell r="F1495" t="str">
            <v>AM</v>
          </cell>
          <cell r="H1495">
            <v>105</v>
          </cell>
          <cell r="I1495">
            <v>14000</v>
          </cell>
        </row>
        <row r="1496">
          <cell r="A1496">
            <v>44713</v>
          </cell>
          <cell r="B1496" t="str">
            <v>Danish Shabir</v>
          </cell>
          <cell r="E1496" t="str">
            <v>RCOGM</v>
          </cell>
          <cell r="F1496" t="str">
            <v>AM</v>
          </cell>
          <cell r="H1496">
            <v>70</v>
          </cell>
          <cell r="I1496">
            <v>2000</v>
          </cell>
        </row>
        <row r="1497">
          <cell r="A1497">
            <v>44713</v>
          </cell>
          <cell r="B1497" t="str">
            <v>Sana Shaikh</v>
          </cell>
          <cell r="E1497" t="str">
            <v>RCOGM</v>
          </cell>
          <cell r="F1497" t="str">
            <v>AM</v>
          </cell>
          <cell r="H1497">
            <v>105</v>
          </cell>
          <cell r="I1497">
            <v>12000</v>
          </cell>
        </row>
        <row r="1498">
          <cell r="A1498">
            <v>44713</v>
          </cell>
          <cell r="B1498" t="str">
            <v>Shabbir Lacewala</v>
          </cell>
          <cell r="E1498" t="str">
            <v>RCOGM</v>
          </cell>
          <cell r="F1498" t="str">
            <v>AM</v>
          </cell>
          <cell r="H1498">
            <v>135</v>
          </cell>
          <cell r="I1498">
            <v>18000</v>
          </cell>
        </row>
        <row r="1499">
          <cell r="A1499">
            <v>44713</v>
          </cell>
          <cell r="B1499" t="str">
            <v>Shadab Sheikh</v>
          </cell>
          <cell r="E1499" t="str">
            <v>RCOGM</v>
          </cell>
          <cell r="F1499" t="str">
            <v>AM</v>
          </cell>
          <cell r="H1499">
            <v>105</v>
          </cell>
          <cell r="I1499">
            <v>12000</v>
          </cell>
        </row>
        <row r="1500">
          <cell r="A1500">
            <v>44713</v>
          </cell>
          <cell r="B1500" t="str">
            <v>Waseem Choudhary</v>
          </cell>
          <cell r="E1500" t="str">
            <v>RCOGM</v>
          </cell>
          <cell r="F1500" t="str">
            <v>AM</v>
          </cell>
          <cell r="H1500">
            <v>105</v>
          </cell>
          <cell r="I1500">
            <v>18000</v>
          </cell>
        </row>
        <row r="1501">
          <cell r="A1501">
            <v>44713</v>
          </cell>
          <cell r="B1501" t="str">
            <v>Aijaz Darzi</v>
          </cell>
          <cell r="E1501" t="str">
            <v>RCOGM</v>
          </cell>
          <cell r="F1501" t="str">
            <v>AM</v>
          </cell>
          <cell r="H1501">
            <v>50</v>
          </cell>
          <cell r="I1501">
            <v>2000</v>
          </cell>
        </row>
        <row r="1502">
          <cell r="A1502">
            <v>44713</v>
          </cell>
          <cell r="B1502" t="str">
            <v>Hany Jawee</v>
          </cell>
          <cell r="E1502" t="str">
            <v>TME</v>
          </cell>
          <cell r="F1502" t="str">
            <v>D</v>
          </cell>
          <cell r="H1502">
            <v>1163.4951247116162</v>
          </cell>
          <cell r="I1502">
            <v>155633.80281690139</v>
          </cell>
        </row>
        <row r="1503">
          <cell r="A1503">
            <v>44713</v>
          </cell>
          <cell r="B1503" t="str">
            <v>Ahmad Ozdamir</v>
          </cell>
          <cell r="E1503" t="str">
            <v>TME</v>
          </cell>
          <cell r="F1503" t="str">
            <v>AM</v>
          </cell>
          <cell r="H1503">
            <v>72.461377987431931</v>
          </cell>
          <cell r="I1503">
            <v>8843.3887521208853</v>
          </cell>
        </row>
        <row r="1504">
          <cell r="A1504">
            <v>44713</v>
          </cell>
          <cell r="B1504" t="str">
            <v>Ahmed AlShehhi</v>
          </cell>
          <cell r="E1504" t="str">
            <v>TME</v>
          </cell>
          <cell r="F1504" t="str">
            <v>AM</v>
          </cell>
          <cell r="H1504">
            <v>62</v>
          </cell>
          <cell r="I1504">
            <v>7581.8748609528602</v>
          </cell>
        </row>
        <row r="1505">
          <cell r="A1505">
            <v>44713</v>
          </cell>
          <cell r="B1505" t="str">
            <v>Amjad Ilwan</v>
          </cell>
          <cell r="E1505" t="str">
            <v>TME</v>
          </cell>
          <cell r="F1505" t="str">
            <v>AM</v>
          </cell>
          <cell r="H1505">
            <v>106.933731959432</v>
          </cell>
          <cell r="I1505">
            <v>7097.6933349453002</v>
          </cell>
        </row>
        <row r="1506">
          <cell r="A1506">
            <v>44713</v>
          </cell>
          <cell r="B1506" t="str">
            <v>Anastasia Maltseva</v>
          </cell>
          <cell r="E1506" t="str">
            <v>TME</v>
          </cell>
          <cell r="F1506" t="str">
            <v>AM</v>
          </cell>
          <cell r="H1506">
            <v>75.461377987431902</v>
          </cell>
          <cell r="I1506">
            <v>12787.881771747499</v>
          </cell>
        </row>
        <row r="1507">
          <cell r="A1507">
            <v>44713</v>
          </cell>
          <cell r="B1507" t="str">
            <v>Buhari Buhari</v>
          </cell>
          <cell r="E1507" t="str">
            <v>TME</v>
          </cell>
          <cell r="F1507" t="str">
            <v>AM</v>
          </cell>
          <cell r="H1507">
            <v>62.461377987431902</v>
          </cell>
          <cell r="I1507">
            <v>6136.7773418533998</v>
          </cell>
        </row>
        <row r="1508">
          <cell r="A1508">
            <v>44713</v>
          </cell>
          <cell r="B1508" t="str">
            <v>Ehab Hajou</v>
          </cell>
          <cell r="E1508" t="str">
            <v>TME</v>
          </cell>
          <cell r="F1508" t="str">
            <v>AM</v>
          </cell>
          <cell r="H1508">
            <v>90.461377987431902</v>
          </cell>
          <cell r="I1508">
            <v>10787.881771747499</v>
          </cell>
        </row>
        <row r="1509">
          <cell r="A1509">
            <v>44713</v>
          </cell>
          <cell r="B1509" t="str">
            <v>Fadi Saleh</v>
          </cell>
          <cell r="E1509" t="str">
            <v>TME</v>
          </cell>
          <cell r="F1509" t="str">
            <v>AM</v>
          </cell>
          <cell r="H1509">
            <v>72.461377987431931</v>
          </cell>
          <cell r="I1509">
            <v>10339.965330470459</v>
          </cell>
        </row>
        <row r="1510">
          <cell r="A1510">
            <v>44713</v>
          </cell>
          <cell r="B1510" t="str">
            <v>Jeevantha Ranasinghe</v>
          </cell>
          <cell r="E1510" t="str">
            <v>TME</v>
          </cell>
          <cell r="F1510" t="str">
            <v>AM</v>
          </cell>
          <cell r="H1510">
            <v>72.461377987431931</v>
          </cell>
          <cell r="I1510">
            <v>7787.8817717475467</v>
          </cell>
        </row>
        <row r="1511">
          <cell r="A1511">
            <v>44713</v>
          </cell>
          <cell r="B1511" t="str">
            <v>Khalid Mohammed</v>
          </cell>
          <cell r="E1511" t="str">
            <v>TME</v>
          </cell>
          <cell r="F1511" t="str">
            <v>AM</v>
          </cell>
          <cell r="H1511">
            <v>125</v>
          </cell>
          <cell r="I1511">
            <v>54787.881771747503</v>
          </cell>
        </row>
        <row r="1512">
          <cell r="A1512">
            <v>44713</v>
          </cell>
          <cell r="B1512" t="str">
            <v>Sara Alblooshi</v>
          </cell>
          <cell r="E1512" t="str">
            <v>TME</v>
          </cell>
          <cell r="F1512" t="str">
            <v>AM</v>
          </cell>
          <cell r="H1512">
            <v>40.461377987431902</v>
          </cell>
          <cell r="I1512">
            <v>5787.8817717475504</v>
          </cell>
        </row>
        <row r="1513">
          <cell r="A1513">
            <v>44713</v>
          </cell>
          <cell r="B1513" t="str">
            <v>Suleiman Wanni</v>
          </cell>
          <cell r="E1513" t="str">
            <v>TME</v>
          </cell>
          <cell r="F1513" t="str">
            <v>AM</v>
          </cell>
          <cell r="H1513">
            <v>310</v>
          </cell>
          <cell r="I1513">
            <v>12889.9388001799</v>
          </cell>
        </row>
        <row r="1514">
          <cell r="A1514">
            <v>44713</v>
          </cell>
          <cell r="B1514" t="str">
            <v>Waseem Suhaf</v>
          </cell>
          <cell r="E1514" t="str">
            <v>TME</v>
          </cell>
          <cell r="F1514" t="str">
            <v>AM</v>
          </cell>
          <cell r="H1514">
            <v>72.461377987431931</v>
          </cell>
          <cell r="I1514">
            <v>10804.7555376408</v>
          </cell>
        </row>
        <row r="1515">
          <cell r="A1515">
            <v>44713</v>
          </cell>
          <cell r="B1515" t="str">
            <v>Mohamad Amer Sibai</v>
          </cell>
          <cell r="E1515" t="str">
            <v>DXB</v>
          </cell>
          <cell r="F1515" t="str">
            <v>D</v>
          </cell>
          <cell r="H1515">
            <v>1500</v>
          </cell>
          <cell r="I1515">
            <v>100000</v>
          </cell>
        </row>
        <row r="1516">
          <cell r="A1516">
            <v>44713</v>
          </cell>
          <cell r="B1516" t="str">
            <v>Mohamed Mady</v>
          </cell>
          <cell r="E1516" t="str">
            <v>DXB</v>
          </cell>
          <cell r="F1516" t="str">
            <v>AM</v>
          </cell>
          <cell r="H1516">
            <v>250</v>
          </cell>
          <cell r="I1516">
            <v>28000</v>
          </cell>
        </row>
        <row r="1517">
          <cell r="A1517">
            <v>44713</v>
          </cell>
          <cell r="B1517" t="str">
            <v>Ramzi Gholmieh</v>
          </cell>
          <cell r="E1517" t="str">
            <v>DXB</v>
          </cell>
          <cell r="F1517" t="str">
            <v>AM</v>
          </cell>
          <cell r="H1517">
            <v>250</v>
          </cell>
          <cell r="I1517">
            <v>28000</v>
          </cell>
        </row>
        <row r="1518">
          <cell r="A1518">
            <v>44713</v>
          </cell>
          <cell r="B1518" t="str">
            <v>Saleh Barami</v>
          </cell>
          <cell r="E1518" t="str">
            <v>DXB</v>
          </cell>
          <cell r="F1518" t="str">
            <v>AM</v>
          </cell>
          <cell r="H1518">
            <v>600</v>
          </cell>
          <cell r="I1518">
            <v>16000</v>
          </cell>
        </row>
        <row r="1519">
          <cell r="A1519">
            <v>44713</v>
          </cell>
          <cell r="B1519" t="str">
            <v>Talal Ahmed Ali Alsharhan</v>
          </cell>
          <cell r="E1519" t="str">
            <v>DXB</v>
          </cell>
          <cell r="F1519" t="str">
            <v>AM</v>
          </cell>
          <cell r="H1519">
            <v>400</v>
          </cell>
          <cell r="I1519">
            <v>28000</v>
          </cell>
        </row>
        <row r="1520">
          <cell r="A1520">
            <v>44713</v>
          </cell>
          <cell r="B1520" t="str">
            <v>Khaled Alawadi</v>
          </cell>
          <cell r="E1520" t="str">
            <v>F-NE</v>
          </cell>
          <cell r="F1520" t="str">
            <v>D</v>
          </cell>
          <cell r="H1520">
            <v>5000</v>
          </cell>
          <cell r="I1520">
            <v>100000</v>
          </cell>
        </row>
        <row r="1521">
          <cell r="A1521">
            <v>44713</v>
          </cell>
          <cell r="B1521" t="str">
            <v>Bader Al Shehhi</v>
          </cell>
          <cell r="E1521" t="str">
            <v>F-NE</v>
          </cell>
          <cell r="F1521" t="str">
            <v>AM</v>
          </cell>
          <cell r="H1521">
            <v>80</v>
          </cell>
          <cell r="I1521">
            <v>1750</v>
          </cell>
        </row>
        <row r="1522">
          <cell r="A1522">
            <v>44713</v>
          </cell>
          <cell r="B1522" t="str">
            <v>Majd Nairoukh</v>
          </cell>
          <cell r="E1522" t="str">
            <v>F-NE</v>
          </cell>
          <cell r="F1522" t="str">
            <v>AM</v>
          </cell>
          <cell r="H1522">
            <v>4630</v>
          </cell>
          <cell r="I1522">
            <v>9000</v>
          </cell>
        </row>
        <row r="1523">
          <cell r="A1523">
            <v>44713</v>
          </cell>
          <cell r="B1523" t="str">
            <v>Nader AlMustafa</v>
          </cell>
          <cell r="E1523" t="str">
            <v>F-NE</v>
          </cell>
          <cell r="F1523" t="str">
            <v>AM</v>
          </cell>
          <cell r="H1523">
            <v>30</v>
          </cell>
          <cell r="I1523">
            <v>60000</v>
          </cell>
        </row>
        <row r="1524">
          <cell r="A1524">
            <v>44713</v>
          </cell>
          <cell r="B1524" t="str">
            <v>Tariq AlAwadhi</v>
          </cell>
          <cell r="E1524" t="str">
            <v>F-NE</v>
          </cell>
          <cell r="F1524" t="str">
            <v>AM</v>
          </cell>
          <cell r="H1524">
            <v>10</v>
          </cell>
          <cell r="I1524">
            <v>1250</v>
          </cell>
        </row>
        <row r="1525">
          <cell r="A1525">
            <v>44713</v>
          </cell>
          <cell r="B1525" t="str">
            <v>Yousef Al Baloushi</v>
          </cell>
          <cell r="E1525" t="str">
            <v>F-NE</v>
          </cell>
          <cell r="F1525" t="str">
            <v>AM</v>
          </cell>
          <cell r="H1525">
            <v>250</v>
          </cell>
          <cell r="I1525">
            <v>28000</v>
          </cell>
        </row>
        <row r="1526">
          <cell r="A1526">
            <v>44713</v>
          </cell>
          <cell r="B1526" t="str">
            <v>Khalid Karmastaji</v>
          </cell>
          <cell r="E1526" t="str">
            <v>KA-AUH</v>
          </cell>
          <cell r="F1526" t="str">
            <v>D</v>
          </cell>
          <cell r="H1526">
            <v>3000</v>
          </cell>
          <cell r="I1526">
            <v>100000</v>
          </cell>
        </row>
        <row r="1527">
          <cell r="A1527">
            <v>44713</v>
          </cell>
          <cell r="B1527" t="str">
            <v>Ammar Alqudsi</v>
          </cell>
          <cell r="E1527" t="str">
            <v>KA-AUH</v>
          </cell>
          <cell r="F1527" t="str">
            <v>AM</v>
          </cell>
          <cell r="H1527">
            <v>330</v>
          </cell>
          <cell r="I1527">
            <v>12000</v>
          </cell>
        </row>
        <row r="1528">
          <cell r="A1528">
            <v>44713</v>
          </cell>
          <cell r="B1528" t="str">
            <v>Osman Basuleman</v>
          </cell>
          <cell r="E1528" t="str">
            <v>KA-AUH</v>
          </cell>
          <cell r="F1528" t="str">
            <v>AM</v>
          </cell>
          <cell r="H1528">
            <v>330</v>
          </cell>
          <cell r="I1528">
            <v>10000</v>
          </cell>
        </row>
        <row r="1529">
          <cell r="A1529">
            <v>44713</v>
          </cell>
          <cell r="B1529" t="str">
            <v>Tarek Solh</v>
          </cell>
          <cell r="E1529" t="str">
            <v>KA-AUH</v>
          </cell>
          <cell r="F1529" t="str">
            <v>AM</v>
          </cell>
          <cell r="H1529">
            <v>450</v>
          </cell>
          <cell r="I1529">
            <v>12000</v>
          </cell>
        </row>
        <row r="1530">
          <cell r="A1530">
            <v>44713</v>
          </cell>
          <cell r="B1530" t="str">
            <v>Khamis Almakrani</v>
          </cell>
          <cell r="E1530" t="str">
            <v>KA-AUH</v>
          </cell>
          <cell r="F1530" t="str">
            <v>AM</v>
          </cell>
          <cell r="H1530">
            <v>300</v>
          </cell>
          <cell r="I1530">
            <v>9000</v>
          </cell>
        </row>
        <row r="1531">
          <cell r="A1531">
            <v>44713</v>
          </cell>
          <cell r="B1531" t="str">
            <v>Ahmed Almansoori</v>
          </cell>
          <cell r="E1531" t="str">
            <v>KA-AUH</v>
          </cell>
          <cell r="F1531" t="str">
            <v>AM</v>
          </cell>
          <cell r="H1531">
            <v>330</v>
          </cell>
          <cell r="I1531">
            <v>11000</v>
          </cell>
        </row>
        <row r="1532">
          <cell r="A1532">
            <v>44713</v>
          </cell>
          <cell r="B1532" t="str">
            <v>Khaled Alshamsi</v>
          </cell>
          <cell r="E1532" t="str">
            <v>KA-AUH</v>
          </cell>
          <cell r="F1532" t="str">
            <v>AM</v>
          </cell>
          <cell r="H1532">
            <v>400</v>
          </cell>
          <cell r="I1532">
            <v>10000</v>
          </cell>
        </row>
        <row r="1533">
          <cell r="A1533">
            <v>44713</v>
          </cell>
          <cell r="B1533" t="str">
            <v>Omar AlHammadi</v>
          </cell>
          <cell r="E1533" t="str">
            <v>KA-AUH</v>
          </cell>
          <cell r="F1533" t="str">
            <v>AM</v>
          </cell>
          <cell r="H1533">
            <v>300</v>
          </cell>
          <cell r="I1533">
            <v>8500</v>
          </cell>
        </row>
        <row r="1534">
          <cell r="A1534">
            <v>44713</v>
          </cell>
          <cell r="B1534" t="str">
            <v>Yousef Alhosani</v>
          </cell>
          <cell r="E1534" t="str">
            <v>KA-AUH</v>
          </cell>
          <cell r="F1534" t="str">
            <v>AM</v>
          </cell>
          <cell r="H1534">
            <v>150</v>
          </cell>
          <cell r="I1534">
            <v>9000</v>
          </cell>
        </row>
        <row r="1535">
          <cell r="A1535">
            <v>44713</v>
          </cell>
          <cell r="B1535" t="str">
            <v>Humaid Almaazmi</v>
          </cell>
          <cell r="E1535" t="str">
            <v>KA-AUH</v>
          </cell>
          <cell r="F1535" t="str">
            <v>AM</v>
          </cell>
          <cell r="H1535">
            <v>150</v>
          </cell>
          <cell r="I1535">
            <v>8500</v>
          </cell>
        </row>
        <row r="1536">
          <cell r="A1536">
            <v>44713</v>
          </cell>
          <cell r="B1536" t="str">
            <v>Abdulla Alhashmi</v>
          </cell>
          <cell r="E1536" t="str">
            <v>KA-AUH</v>
          </cell>
          <cell r="F1536" t="str">
            <v>AM</v>
          </cell>
          <cell r="H1536">
            <v>260</v>
          </cell>
          <cell r="I1536">
            <v>10000</v>
          </cell>
        </row>
        <row r="1537">
          <cell r="A1537">
            <v>44713</v>
          </cell>
          <cell r="B1537" t="str">
            <v>Mazen Adem</v>
          </cell>
          <cell r="E1537" t="str">
            <v>KA</v>
          </cell>
          <cell r="F1537" t="str">
            <v>D</v>
          </cell>
          <cell r="H1537">
            <v>1500</v>
          </cell>
          <cell r="I1537">
            <v>100000</v>
          </cell>
        </row>
        <row r="1538">
          <cell r="A1538">
            <v>44713</v>
          </cell>
          <cell r="B1538" t="str">
            <v>Abdel Azim Sharabati</v>
          </cell>
          <cell r="E1538" t="str">
            <v>KA</v>
          </cell>
          <cell r="F1538" t="str">
            <v>AM</v>
          </cell>
          <cell r="H1538">
            <v>350</v>
          </cell>
          <cell r="I1538">
            <v>15000</v>
          </cell>
        </row>
        <row r="1539">
          <cell r="A1539">
            <v>44713</v>
          </cell>
          <cell r="B1539" t="str">
            <v>Abraham Cherian</v>
          </cell>
          <cell r="E1539" t="str">
            <v>KA</v>
          </cell>
          <cell r="F1539" t="str">
            <v>AM</v>
          </cell>
          <cell r="H1539">
            <v>250</v>
          </cell>
          <cell r="I1539">
            <v>25000</v>
          </cell>
        </row>
        <row r="1540">
          <cell r="A1540">
            <v>44713</v>
          </cell>
          <cell r="B1540" t="str">
            <v>Arjun Subaraman</v>
          </cell>
          <cell r="E1540" t="str">
            <v>KA</v>
          </cell>
          <cell r="F1540" t="str">
            <v>AM</v>
          </cell>
          <cell r="H1540">
            <v>250</v>
          </cell>
          <cell r="I1540">
            <v>12000</v>
          </cell>
        </row>
        <row r="1541">
          <cell r="A1541">
            <v>44713</v>
          </cell>
          <cell r="B1541" t="str">
            <v>Ghassan Fouany</v>
          </cell>
          <cell r="E1541" t="str">
            <v>KA</v>
          </cell>
          <cell r="F1541" t="str">
            <v>AM</v>
          </cell>
          <cell r="H1541">
            <v>100</v>
          </cell>
          <cell r="I1541">
            <v>30000</v>
          </cell>
        </row>
        <row r="1542">
          <cell r="A1542">
            <v>44713</v>
          </cell>
          <cell r="B1542" t="str">
            <v>Inayat Fazili</v>
          </cell>
          <cell r="E1542" t="str">
            <v>KA</v>
          </cell>
          <cell r="F1542" t="str">
            <v>AM</v>
          </cell>
          <cell r="H1542">
            <v>350</v>
          </cell>
          <cell r="I1542">
            <v>8000</v>
          </cell>
        </row>
        <row r="1543">
          <cell r="A1543">
            <v>44713</v>
          </cell>
          <cell r="B1543" t="str">
            <v>Mohd Sheikh Salem</v>
          </cell>
          <cell r="E1543" t="str">
            <v>KA</v>
          </cell>
          <cell r="F1543" t="str">
            <v>AM</v>
          </cell>
          <cell r="H1543">
            <v>200</v>
          </cell>
          <cell r="I1543">
            <v>10000</v>
          </cell>
        </row>
        <row r="1544">
          <cell r="A1544">
            <v>44743</v>
          </cell>
          <cell r="B1544" t="str">
            <v>Mohamad Amer Sibai</v>
          </cell>
          <cell r="E1544" t="str">
            <v>DXB</v>
          </cell>
          <cell r="F1544" t="str">
            <v>D</v>
          </cell>
          <cell r="H1544">
            <v>1500</v>
          </cell>
          <cell r="I1544">
            <v>100000</v>
          </cell>
        </row>
        <row r="1545">
          <cell r="A1545">
            <v>44743</v>
          </cell>
          <cell r="B1545" t="str">
            <v>Mohamed Mady</v>
          </cell>
          <cell r="E1545" t="str">
            <v>DXB</v>
          </cell>
          <cell r="F1545" t="str">
            <v>AM</v>
          </cell>
          <cell r="H1545">
            <v>220.12861890696274</v>
          </cell>
          <cell r="I1545">
            <v>15000</v>
          </cell>
        </row>
        <row r="1546">
          <cell r="A1546">
            <v>44743</v>
          </cell>
          <cell r="B1546" t="str">
            <v>Ramzi Gholmieh</v>
          </cell>
          <cell r="E1546" t="str">
            <v>DXB</v>
          </cell>
          <cell r="F1546" t="str">
            <v>AM</v>
          </cell>
          <cell r="H1546">
            <v>220.12861890696274</v>
          </cell>
          <cell r="I1546">
            <v>28333.333333333332</v>
          </cell>
        </row>
        <row r="1547">
          <cell r="A1547">
            <v>44743</v>
          </cell>
          <cell r="B1547" t="str">
            <v>Saleh Barami</v>
          </cell>
          <cell r="E1547" t="str">
            <v>DXB</v>
          </cell>
          <cell r="F1547" t="str">
            <v>AM</v>
          </cell>
          <cell r="H1547">
            <v>665.75886479426424</v>
          </cell>
          <cell r="I1547">
            <v>28333.333333333332</v>
          </cell>
        </row>
        <row r="1548">
          <cell r="A1548">
            <v>44743</v>
          </cell>
          <cell r="B1548" t="str">
            <v>Talal Ahmed Ali Alsharhan</v>
          </cell>
          <cell r="E1548" t="str">
            <v>DXB</v>
          </cell>
          <cell r="F1548" t="str">
            <v>AM</v>
          </cell>
          <cell r="H1548">
            <v>393.98389739181005</v>
          </cell>
          <cell r="I1548">
            <v>28333.333333333332</v>
          </cell>
        </row>
        <row r="1549">
          <cell r="A1549">
            <v>44743</v>
          </cell>
          <cell r="B1549" t="str">
            <v>Khaled Alawadi</v>
          </cell>
          <cell r="E1549" t="str">
            <v>F-NE</v>
          </cell>
          <cell r="F1549" t="str">
            <v>D</v>
          </cell>
          <cell r="H1549">
            <v>6000</v>
          </cell>
          <cell r="I1549">
            <v>100000</v>
          </cell>
        </row>
        <row r="1550">
          <cell r="A1550">
            <v>44743</v>
          </cell>
          <cell r="B1550" t="str">
            <v>Bader Al Shehhi</v>
          </cell>
          <cell r="E1550" t="str">
            <v>F-NE</v>
          </cell>
          <cell r="F1550" t="str">
            <v>AM</v>
          </cell>
          <cell r="H1550">
            <v>90</v>
          </cell>
          <cell r="I1550">
            <v>2500</v>
          </cell>
        </row>
        <row r="1551">
          <cell r="A1551">
            <v>44743</v>
          </cell>
          <cell r="B1551" t="str">
            <v>Majd Nairoukh</v>
          </cell>
          <cell r="E1551" t="str">
            <v>F-NE</v>
          </cell>
          <cell r="F1551" t="str">
            <v>AM</v>
          </cell>
          <cell r="H1551">
            <v>5555</v>
          </cell>
          <cell r="I1551">
            <v>1500</v>
          </cell>
        </row>
        <row r="1552">
          <cell r="A1552">
            <v>44743</v>
          </cell>
          <cell r="B1552" t="str">
            <v>Nader AlMustafa</v>
          </cell>
          <cell r="E1552" t="str">
            <v>F-NE</v>
          </cell>
          <cell r="F1552" t="str">
            <v>AM</v>
          </cell>
          <cell r="H1552">
            <v>35</v>
          </cell>
          <cell r="I1552">
            <v>1500</v>
          </cell>
        </row>
        <row r="1553">
          <cell r="A1553">
            <v>44743</v>
          </cell>
          <cell r="B1553" t="str">
            <v>Tariq AlAwadhi</v>
          </cell>
          <cell r="E1553" t="str">
            <v>F-NE</v>
          </cell>
          <cell r="F1553" t="str">
            <v>AM</v>
          </cell>
          <cell r="H1553">
            <v>20</v>
          </cell>
          <cell r="I1553">
            <v>1500</v>
          </cell>
        </row>
        <row r="1554">
          <cell r="A1554">
            <v>44743</v>
          </cell>
          <cell r="B1554" t="str">
            <v>Yousef Al Baloushi</v>
          </cell>
          <cell r="E1554" t="str">
            <v>F-NE</v>
          </cell>
          <cell r="F1554" t="str">
            <v>AM</v>
          </cell>
          <cell r="H1554">
            <v>300</v>
          </cell>
          <cell r="I1554">
            <v>93000</v>
          </cell>
        </row>
        <row r="1555">
          <cell r="A1555">
            <v>44743</v>
          </cell>
          <cell r="B1555" t="str">
            <v>Khalid Karmastaji</v>
          </cell>
          <cell r="E1555" t="str">
            <v>KA-AUH</v>
          </cell>
          <cell r="F1555" t="str">
            <v>D</v>
          </cell>
          <cell r="H1555">
            <v>2000</v>
          </cell>
          <cell r="I1555">
            <v>150000</v>
          </cell>
        </row>
        <row r="1556">
          <cell r="A1556">
            <v>44743</v>
          </cell>
          <cell r="B1556" t="str">
            <v>Ammar Alqudsi</v>
          </cell>
          <cell r="E1556" t="str">
            <v>KA-AUH</v>
          </cell>
          <cell r="F1556" t="str">
            <v>AM</v>
          </cell>
          <cell r="H1556">
            <v>250</v>
          </cell>
          <cell r="I1556">
            <v>21000</v>
          </cell>
        </row>
        <row r="1557">
          <cell r="A1557">
            <v>44743</v>
          </cell>
          <cell r="B1557" t="str">
            <v>Osman Basuleman</v>
          </cell>
          <cell r="E1557" t="str">
            <v>KA-AUH</v>
          </cell>
          <cell r="F1557" t="str">
            <v>AM</v>
          </cell>
          <cell r="H1557">
            <v>200</v>
          </cell>
          <cell r="I1557">
            <v>11000</v>
          </cell>
        </row>
        <row r="1558">
          <cell r="A1558">
            <v>44743</v>
          </cell>
          <cell r="B1558" t="str">
            <v>Tarek Solh</v>
          </cell>
          <cell r="E1558" t="str">
            <v>KA-AUH</v>
          </cell>
          <cell r="F1558" t="str">
            <v>AM</v>
          </cell>
          <cell r="H1558">
            <v>350</v>
          </cell>
          <cell r="I1558">
            <v>23000</v>
          </cell>
        </row>
        <row r="1559">
          <cell r="A1559">
            <v>44743</v>
          </cell>
          <cell r="B1559" t="str">
            <v>Khamis Almakrani</v>
          </cell>
          <cell r="E1559" t="str">
            <v>KA-AUH</v>
          </cell>
          <cell r="F1559" t="str">
            <v>AM</v>
          </cell>
          <cell r="H1559">
            <v>110</v>
          </cell>
          <cell r="I1559">
            <v>11000</v>
          </cell>
        </row>
        <row r="1560">
          <cell r="A1560">
            <v>44743</v>
          </cell>
          <cell r="B1560" t="str">
            <v>Ahmed Almansoori</v>
          </cell>
          <cell r="E1560" t="str">
            <v>KA-AUH</v>
          </cell>
          <cell r="F1560" t="str">
            <v>AM</v>
          </cell>
          <cell r="H1560">
            <v>270</v>
          </cell>
          <cell r="I1560">
            <v>19000</v>
          </cell>
        </row>
        <row r="1561">
          <cell r="A1561">
            <v>44743</v>
          </cell>
          <cell r="B1561" t="str">
            <v>Khaled Alshamsi</v>
          </cell>
          <cell r="E1561" t="str">
            <v>KA-AUH</v>
          </cell>
          <cell r="F1561" t="str">
            <v>AM</v>
          </cell>
          <cell r="H1561">
            <v>300</v>
          </cell>
          <cell r="I1561">
            <v>15000</v>
          </cell>
        </row>
        <row r="1562">
          <cell r="A1562">
            <v>44743</v>
          </cell>
          <cell r="B1562" t="str">
            <v>Omar AlHammadi</v>
          </cell>
          <cell r="E1562" t="str">
            <v>KA-AUH</v>
          </cell>
          <cell r="F1562" t="str">
            <v>AM</v>
          </cell>
          <cell r="H1562">
            <v>110</v>
          </cell>
          <cell r="I1562">
            <v>12000</v>
          </cell>
        </row>
        <row r="1563">
          <cell r="A1563">
            <v>44743</v>
          </cell>
          <cell r="B1563" t="str">
            <v>Yousef Alhosani</v>
          </cell>
          <cell r="E1563" t="str">
            <v>KA-AUH</v>
          </cell>
          <cell r="F1563" t="str">
            <v>AM</v>
          </cell>
          <cell r="H1563">
            <v>110</v>
          </cell>
          <cell r="I1563">
            <v>12000</v>
          </cell>
        </row>
        <row r="1564">
          <cell r="A1564">
            <v>44743</v>
          </cell>
          <cell r="B1564" t="str">
            <v>Humaid Almaazmi</v>
          </cell>
          <cell r="E1564" t="str">
            <v>KA-AUH</v>
          </cell>
          <cell r="F1564" t="str">
            <v>AM</v>
          </cell>
          <cell r="H1564">
            <v>150</v>
          </cell>
          <cell r="I1564">
            <v>12000</v>
          </cell>
        </row>
        <row r="1565">
          <cell r="A1565">
            <v>44743</v>
          </cell>
          <cell r="B1565" t="str">
            <v>Abdulla Alhashmi</v>
          </cell>
          <cell r="E1565" t="str">
            <v>KA-AUH</v>
          </cell>
          <cell r="F1565" t="str">
            <v>AM</v>
          </cell>
          <cell r="H1565">
            <v>150</v>
          </cell>
          <cell r="I1565">
            <v>14000</v>
          </cell>
        </row>
        <row r="1566">
          <cell r="A1566">
            <v>44743</v>
          </cell>
          <cell r="B1566" t="str">
            <v>Mazen Adem</v>
          </cell>
          <cell r="E1566" t="str">
            <v>KA</v>
          </cell>
          <cell r="F1566" t="str">
            <v>D</v>
          </cell>
          <cell r="H1566">
            <v>1500</v>
          </cell>
          <cell r="I1566">
            <v>100000</v>
          </cell>
        </row>
        <row r="1567">
          <cell r="A1567">
            <v>44743</v>
          </cell>
          <cell r="B1567" t="str">
            <v>Abdel Azim Sharabati</v>
          </cell>
          <cell r="E1567" t="str">
            <v>KA</v>
          </cell>
          <cell r="F1567" t="str">
            <v>AM</v>
          </cell>
          <cell r="H1567">
            <v>130</v>
          </cell>
          <cell r="I1567">
            <v>35000</v>
          </cell>
        </row>
        <row r="1568">
          <cell r="A1568">
            <v>44743</v>
          </cell>
          <cell r="B1568" t="str">
            <v>Abraham Cherian</v>
          </cell>
          <cell r="E1568" t="str">
            <v>KA</v>
          </cell>
          <cell r="F1568" t="str">
            <v>AM</v>
          </cell>
          <cell r="H1568">
            <v>380</v>
          </cell>
          <cell r="I1568">
            <v>20000</v>
          </cell>
        </row>
        <row r="1569">
          <cell r="A1569">
            <v>44743</v>
          </cell>
          <cell r="B1569" t="str">
            <v>Arjun Subaraman</v>
          </cell>
          <cell r="E1569" t="str">
            <v>KA</v>
          </cell>
          <cell r="F1569" t="str">
            <v>AM</v>
          </cell>
          <cell r="H1569">
            <v>130</v>
          </cell>
          <cell r="I1569">
            <v>21000</v>
          </cell>
        </row>
        <row r="1570">
          <cell r="A1570">
            <v>44743</v>
          </cell>
          <cell r="B1570" t="str">
            <v>Ghassan Fouany</v>
          </cell>
          <cell r="E1570" t="str">
            <v>KA</v>
          </cell>
          <cell r="F1570" t="str">
            <v>AM</v>
          </cell>
          <cell r="H1570">
            <v>130</v>
          </cell>
          <cell r="I1570">
            <v>10000</v>
          </cell>
        </row>
        <row r="1571">
          <cell r="A1571">
            <v>44743</v>
          </cell>
          <cell r="B1571" t="str">
            <v>Inayat Fazili</v>
          </cell>
          <cell r="E1571" t="str">
            <v>KA</v>
          </cell>
          <cell r="F1571" t="str">
            <v>AM</v>
          </cell>
          <cell r="H1571">
            <v>350</v>
          </cell>
          <cell r="I1571">
            <v>7000</v>
          </cell>
        </row>
        <row r="1572">
          <cell r="A1572">
            <v>44743</v>
          </cell>
          <cell r="B1572" t="str">
            <v>Mohd Sheikh Salem</v>
          </cell>
          <cell r="E1572" t="str">
            <v>KA</v>
          </cell>
          <cell r="F1572" t="str">
            <v>AM</v>
          </cell>
          <cell r="H1572">
            <v>380</v>
          </cell>
          <cell r="I1572">
            <v>7000</v>
          </cell>
        </row>
        <row r="1573">
          <cell r="A1573">
            <v>44743</v>
          </cell>
          <cell r="B1573" t="str">
            <v>Hamzah Nofal</v>
          </cell>
          <cell r="E1573" t="str">
            <v>FCR</v>
          </cell>
          <cell r="F1573" t="str">
            <v>D</v>
          </cell>
          <cell r="H1573">
            <v>1127.3014525701947</v>
          </cell>
          <cell r="I1573">
            <v>282737.65825492836</v>
          </cell>
        </row>
        <row r="1574">
          <cell r="A1574">
            <v>44743</v>
          </cell>
          <cell r="B1574" t="str">
            <v>Eslam Hassan</v>
          </cell>
          <cell r="E1574" t="str">
            <v>FCR</v>
          </cell>
          <cell r="F1574" t="str">
            <v>AM</v>
          </cell>
          <cell r="H1574">
            <v>89</v>
          </cell>
          <cell r="I1574">
            <v>22764.073475431789</v>
          </cell>
        </row>
        <row r="1575">
          <cell r="A1575">
            <v>44743</v>
          </cell>
          <cell r="B1575" t="str">
            <v>Farha Hameed</v>
          </cell>
          <cell r="E1575" t="str">
            <v>FCR</v>
          </cell>
          <cell r="F1575" t="str">
            <v>AM</v>
          </cell>
          <cell r="H1575">
            <v>88</v>
          </cell>
          <cell r="I1575">
            <v>16474.032394478701</v>
          </cell>
        </row>
        <row r="1576">
          <cell r="A1576">
            <v>44743</v>
          </cell>
          <cell r="B1576" t="str">
            <v>Mohamad Labban</v>
          </cell>
          <cell r="E1576" t="str">
            <v>FCR</v>
          </cell>
          <cell r="F1576" t="str">
            <v>AM</v>
          </cell>
          <cell r="H1576">
            <v>88</v>
          </cell>
          <cell r="I1576">
            <v>22083.379310172408</v>
          </cell>
        </row>
        <row r="1577">
          <cell r="A1577">
            <v>44743</v>
          </cell>
          <cell r="B1577" t="str">
            <v>Mohamed Mostafa</v>
          </cell>
          <cell r="E1577" t="str">
            <v>FCR</v>
          </cell>
          <cell r="F1577" t="str">
            <v>AM</v>
          </cell>
          <cell r="H1577">
            <v>73</v>
          </cell>
          <cell r="I1577">
            <v>9594.1329046123901</v>
          </cell>
        </row>
        <row r="1578">
          <cell r="A1578">
            <v>44743</v>
          </cell>
          <cell r="B1578" t="str">
            <v>Nadeem Rasheed</v>
          </cell>
          <cell r="E1578" t="str">
            <v>FCR</v>
          </cell>
          <cell r="F1578" t="str">
            <v>AM</v>
          </cell>
          <cell r="H1578">
            <v>109</v>
          </cell>
          <cell r="I1578">
            <v>38728.520298142503</v>
          </cell>
        </row>
        <row r="1579">
          <cell r="A1579">
            <v>44743</v>
          </cell>
          <cell r="B1579" t="str">
            <v>Othman Hassan</v>
          </cell>
          <cell r="E1579" t="str">
            <v>FCR</v>
          </cell>
          <cell r="F1579" t="str">
            <v>AM</v>
          </cell>
          <cell r="H1579">
            <v>103</v>
          </cell>
          <cell r="I1579">
            <v>14924.422233970998</v>
          </cell>
        </row>
        <row r="1580">
          <cell r="A1580">
            <v>44743</v>
          </cell>
          <cell r="B1580" t="str">
            <v>Ranjith Chandran</v>
          </cell>
          <cell r="E1580" t="str">
            <v>FCR</v>
          </cell>
          <cell r="F1580" t="str">
            <v>AM</v>
          </cell>
          <cell r="H1580">
            <v>73</v>
          </cell>
          <cell r="I1580">
            <v>16475.697460825195</v>
          </cell>
        </row>
        <row r="1581">
          <cell r="A1581">
            <v>44743</v>
          </cell>
          <cell r="B1581" t="str">
            <v>Richard Chandy</v>
          </cell>
          <cell r="E1581" t="str">
            <v>FCR</v>
          </cell>
          <cell r="F1581" t="str">
            <v>AM</v>
          </cell>
          <cell r="H1581">
            <v>73</v>
          </cell>
          <cell r="I1581">
            <v>12272.638215935989</v>
          </cell>
        </row>
        <row r="1582">
          <cell r="A1582">
            <v>44743</v>
          </cell>
          <cell r="B1582" t="str">
            <v>Simon Williams</v>
          </cell>
          <cell r="E1582" t="str">
            <v>FCR</v>
          </cell>
          <cell r="F1582" t="str">
            <v>AM</v>
          </cell>
          <cell r="H1582">
            <v>109</v>
          </cell>
          <cell r="I1582">
            <v>26868.38170825522</v>
          </cell>
        </row>
        <row r="1583">
          <cell r="A1583">
            <v>44743</v>
          </cell>
          <cell r="B1583" t="str">
            <v>Usman Zafar Sipra</v>
          </cell>
          <cell r="E1583" t="str">
            <v>FCR</v>
          </cell>
          <cell r="F1583" t="str">
            <v>AM</v>
          </cell>
          <cell r="H1583">
            <v>73</v>
          </cell>
          <cell r="I1583">
            <v>15916.845340303691</v>
          </cell>
        </row>
        <row r="1584">
          <cell r="A1584">
            <v>44743</v>
          </cell>
          <cell r="B1584" t="str">
            <v>Vineeth Augustine</v>
          </cell>
          <cell r="E1584" t="str">
            <v>FCR</v>
          </cell>
          <cell r="F1584" t="str">
            <v>AM</v>
          </cell>
          <cell r="H1584">
            <v>88</v>
          </cell>
          <cell r="I1584">
            <v>23820.365395538367</v>
          </cell>
        </row>
        <row r="1585">
          <cell r="A1585">
            <v>44743</v>
          </cell>
          <cell r="B1585" t="str">
            <v>Mohamed Kishk</v>
          </cell>
          <cell r="E1585" t="str">
            <v>FCR</v>
          </cell>
          <cell r="F1585" t="str">
            <v>AM</v>
          </cell>
          <cell r="H1585">
            <v>88</v>
          </cell>
          <cell r="I1585">
            <v>30761.922855624824</v>
          </cell>
        </row>
        <row r="1586">
          <cell r="A1586">
            <v>44743</v>
          </cell>
          <cell r="B1586" t="str">
            <v>Muhammad Ismail</v>
          </cell>
          <cell r="E1586" t="str">
            <v>FCR</v>
          </cell>
          <cell r="F1586" t="str">
            <v>AM</v>
          </cell>
          <cell r="H1586">
            <v>73</v>
          </cell>
          <cell r="I1586">
            <v>32053.2466616364</v>
          </cell>
        </row>
        <row r="1587">
          <cell r="A1587">
            <v>44743</v>
          </cell>
          <cell r="B1587" t="str">
            <v>Maitha Bin Malek</v>
          </cell>
          <cell r="E1587" t="str">
            <v>HHTT</v>
          </cell>
          <cell r="F1587" t="str">
            <v>D</v>
          </cell>
          <cell r="H1587">
            <v>794.5527303381881</v>
          </cell>
          <cell r="I1587">
            <v>277993.89499664464</v>
          </cell>
        </row>
        <row r="1588">
          <cell r="A1588">
            <v>44743</v>
          </cell>
          <cell r="B1588" t="str">
            <v>Atef Kassem</v>
          </cell>
          <cell r="E1588" t="str">
            <v>HHTT</v>
          </cell>
          <cell r="F1588" t="str">
            <v>AM</v>
          </cell>
          <cell r="H1588">
            <v>62</v>
          </cell>
          <cell r="I1588">
            <v>23479.811999360001</v>
          </cell>
        </row>
        <row r="1589">
          <cell r="A1589">
            <v>44743</v>
          </cell>
          <cell r="B1589" t="str">
            <v>Bashar Al Adilee</v>
          </cell>
          <cell r="E1589" t="str">
            <v>HHTT</v>
          </cell>
          <cell r="F1589" t="str">
            <v>AM</v>
          </cell>
          <cell r="H1589">
            <v>64.241669112944308</v>
          </cell>
          <cell r="I1589">
            <v>35933.089082811908</v>
          </cell>
        </row>
        <row r="1590">
          <cell r="A1590">
            <v>44743</v>
          </cell>
          <cell r="B1590" t="str">
            <v>Favas Kurinhilayil</v>
          </cell>
          <cell r="E1590" t="str">
            <v>HHTT</v>
          </cell>
          <cell r="F1590" t="str">
            <v>AM</v>
          </cell>
          <cell r="H1590">
            <v>80.419462729816999</v>
          </cell>
          <cell r="I1590">
            <v>20479.811999360001</v>
          </cell>
        </row>
        <row r="1591">
          <cell r="A1591">
            <v>44743</v>
          </cell>
          <cell r="B1591" t="str">
            <v>Feroz Shaikh</v>
          </cell>
          <cell r="E1591" t="str">
            <v>HHTT</v>
          </cell>
          <cell r="F1591" t="str">
            <v>AM</v>
          </cell>
          <cell r="H1591">
            <v>62</v>
          </cell>
          <cell r="I1591">
            <v>12479.811999360001</v>
          </cell>
        </row>
        <row r="1592">
          <cell r="A1592">
            <v>44743</v>
          </cell>
          <cell r="B1592" t="str">
            <v>Junaid Warris</v>
          </cell>
          <cell r="E1592" t="str">
            <v>HHTT</v>
          </cell>
          <cell r="F1592" t="str">
            <v>AM</v>
          </cell>
          <cell r="H1592">
            <v>62</v>
          </cell>
          <cell r="I1592">
            <v>20479.811999360045</v>
          </cell>
        </row>
        <row r="1593">
          <cell r="A1593">
            <v>44743</v>
          </cell>
          <cell r="B1593" t="str">
            <v>Muhammad Nauman Khan</v>
          </cell>
          <cell r="E1593" t="str">
            <v>HHTT</v>
          </cell>
          <cell r="F1593" t="str">
            <v>AM</v>
          </cell>
          <cell r="H1593">
            <v>83.485983089488798</v>
          </cell>
          <cell r="I1593">
            <v>22479.811999360001</v>
          </cell>
        </row>
        <row r="1594">
          <cell r="A1594">
            <v>44743</v>
          </cell>
          <cell r="B1594" t="str">
            <v>Mushahid Hussain Syed</v>
          </cell>
          <cell r="E1594" t="str">
            <v>HHTT</v>
          </cell>
          <cell r="F1594" t="str">
            <v>AM</v>
          </cell>
          <cell r="H1594">
            <v>62</v>
          </cell>
          <cell r="I1594">
            <v>20479.811999360045</v>
          </cell>
        </row>
        <row r="1595">
          <cell r="A1595">
            <v>44743</v>
          </cell>
          <cell r="B1595" t="str">
            <v>Osama ElWawi</v>
          </cell>
          <cell r="E1595" t="str">
            <v>HHTT</v>
          </cell>
          <cell r="F1595" t="str">
            <v>AM</v>
          </cell>
          <cell r="H1595">
            <v>67</v>
          </cell>
          <cell r="I1595">
            <v>32576.926041206701</v>
          </cell>
        </row>
        <row r="1596">
          <cell r="A1596">
            <v>44743</v>
          </cell>
          <cell r="B1596" t="str">
            <v>Ramez Al Alami</v>
          </cell>
          <cell r="E1596" t="str">
            <v>HHTT</v>
          </cell>
          <cell r="F1596" t="str">
            <v>AM</v>
          </cell>
          <cell r="H1596">
            <v>67</v>
          </cell>
          <cell r="I1596">
            <v>29479.811999360001</v>
          </cell>
        </row>
        <row r="1597">
          <cell r="A1597">
            <v>44743</v>
          </cell>
          <cell r="B1597" t="str">
            <v>Ramy Abdel Fattah</v>
          </cell>
          <cell r="E1597" t="str">
            <v>HHTT</v>
          </cell>
          <cell r="F1597" t="str">
            <v>AM</v>
          </cell>
          <cell r="H1597">
            <v>78.1993237959433</v>
          </cell>
          <cell r="I1597">
            <v>32645.383877745699</v>
          </cell>
        </row>
        <row r="1598">
          <cell r="A1598">
            <v>44743</v>
          </cell>
          <cell r="B1598" t="str">
            <v>Wasim Raja</v>
          </cell>
          <cell r="E1598" t="str">
            <v>HHTT</v>
          </cell>
          <cell r="F1598" t="str">
            <v>AM</v>
          </cell>
          <cell r="H1598">
            <v>81.321875632561401</v>
          </cell>
          <cell r="I1598">
            <v>21479.811999360001</v>
          </cell>
        </row>
        <row r="1599">
          <cell r="A1599">
            <v>44743</v>
          </cell>
          <cell r="B1599" t="str">
            <v>Ubaid Ahanger</v>
          </cell>
          <cell r="E1599" t="str">
            <v>HHTT</v>
          </cell>
          <cell r="F1599" t="str">
            <v>AM</v>
          </cell>
          <cell r="H1599">
            <v>25</v>
          </cell>
          <cell r="I1599">
            <v>6000</v>
          </cell>
        </row>
        <row r="1600">
          <cell r="A1600">
            <v>44743</v>
          </cell>
          <cell r="B1600" t="str">
            <v>Imran Malik</v>
          </cell>
          <cell r="E1600" t="str">
            <v>RCOGM</v>
          </cell>
          <cell r="F1600" t="str">
            <v>D</v>
          </cell>
          <cell r="H1600">
            <v>1157</v>
          </cell>
          <cell r="I1600">
            <v>263078</v>
          </cell>
        </row>
        <row r="1601">
          <cell r="A1601">
            <v>44743</v>
          </cell>
          <cell r="B1601" t="str">
            <v>AlMas Zaheer</v>
          </cell>
          <cell r="E1601" t="str">
            <v>RCOGM</v>
          </cell>
          <cell r="F1601" t="str">
            <v>AM</v>
          </cell>
          <cell r="H1601">
            <v>85</v>
          </cell>
          <cell r="I1601">
            <v>12000</v>
          </cell>
        </row>
        <row r="1602">
          <cell r="A1602">
            <v>44743</v>
          </cell>
          <cell r="B1602" t="str">
            <v>Shiraz Niazi</v>
          </cell>
          <cell r="E1602" t="str">
            <v>RCOGM</v>
          </cell>
          <cell r="F1602" t="str">
            <v>AM</v>
          </cell>
          <cell r="H1602">
            <v>85</v>
          </cell>
          <cell r="I1602">
            <v>12000</v>
          </cell>
        </row>
        <row r="1603">
          <cell r="A1603">
            <v>44743</v>
          </cell>
          <cell r="B1603" t="str">
            <v>Adnan Bashir</v>
          </cell>
          <cell r="E1603" t="str">
            <v>RCOGM</v>
          </cell>
          <cell r="F1603" t="str">
            <v>AM</v>
          </cell>
          <cell r="H1603">
            <v>40</v>
          </cell>
          <cell r="I1603">
            <v>5000</v>
          </cell>
        </row>
        <row r="1604">
          <cell r="A1604">
            <v>44743</v>
          </cell>
          <cell r="B1604" t="str">
            <v>Aijaz Darzi</v>
          </cell>
          <cell r="E1604" t="str">
            <v>RCOGM</v>
          </cell>
          <cell r="F1604" t="str">
            <v>AM</v>
          </cell>
          <cell r="H1604">
            <v>37</v>
          </cell>
          <cell r="I1604">
            <v>5000</v>
          </cell>
        </row>
        <row r="1605">
          <cell r="A1605">
            <v>44743</v>
          </cell>
          <cell r="B1605" t="str">
            <v>Ali Alzarooni</v>
          </cell>
          <cell r="E1605" t="str">
            <v>RCOGM</v>
          </cell>
          <cell r="F1605" t="str">
            <v>AM</v>
          </cell>
          <cell r="H1605">
            <v>80</v>
          </cell>
          <cell r="I1605">
            <v>15000</v>
          </cell>
        </row>
        <row r="1606">
          <cell r="A1606">
            <v>44743</v>
          </cell>
          <cell r="B1606" t="str">
            <v>Ali Shahin</v>
          </cell>
          <cell r="E1606" t="str">
            <v>RCOGM</v>
          </cell>
          <cell r="F1606" t="str">
            <v>AM</v>
          </cell>
          <cell r="H1606">
            <v>130</v>
          </cell>
          <cell r="I1606">
            <v>25000</v>
          </cell>
        </row>
        <row r="1607">
          <cell r="A1607">
            <v>44743</v>
          </cell>
          <cell r="B1607" t="str">
            <v>Ammar Aladily</v>
          </cell>
          <cell r="E1607" t="str">
            <v>RCOGM</v>
          </cell>
          <cell r="F1607" t="str">
            <v>AM</v>
          </cell>
          <cell r="H1607">
            <v>160</v>
          </cell>
          <cell r="I1607">
            <v>50000</v>
          </cell>
        </row>
        <row r="1608">
          <cell r="A1608">
            <v>44743</v>
          </cell>
          <cell r="B1608" t="str">
            <v>Ayaz Zargar</v>
          </cell>
          <cell r="E1608" t="str">
            <v>RCOGM</v>
          </cell>
          <cell r="F1608" t="str">
            <v>AM</v>
          </cell>
          <cell r="H1608">
            <v>90</v>
          </cell>
          <cell r="I1608">
            <v>25000</v>
          </cell>
        </row>
        <row r="1609">
          <cell r="A1609">
            <v>44743</v>
          </cell>
          <cell r="B1609" t="str">
            <v>Danish Shabir</v>
          </cell>
          <cell r="E1609" t="str">
            <v>RCOGM</v>
          </cell>
          <cell r="F1609" t="str">
            <v>AM</v>
          </cell>
          <cell r="H1609">
            <v>40</v>
          </cell>
          <cell r="I1609">
            <v>9078</v>
          </cell>
        </row>
        <row r="1610">
          <cell r="A1610">
            <v>44743</v>
          </cell>
          <cell r="B1610" t="str">
            <v>Sana Shaikh</v>
          </cell>
          <cell r="E1610" t="str">
            <v>RCOGM</v>
          </cell>
          <cell r="F1610" t="str">
            <v>AM</v>
          </cell>
          <cell r="H1610">
            <v>90</v>
          </cell>
          <cell r="I1610">
            <v>15000</v>
          </cell>
        </row>
        <row r="1611">
          <cell r="A1611">
            <v>44743</v>
          </cell>
          <cell r="B1611" t="str">
            <v>Shabbir Lacewala</v>
          </cell>
          <cell r="E1611" t="str">
            <v>RCOGM</v>
          </cell>
          <cell r="F1611" t="str">
            <v>AM</v>
          </cell>
          <cell r="H1611">
            <v>130</v>
          </cell>
          <cell r="I1611">
            <v>25000</v>
          </cell>
        </row>
        <row r="1612">
          <cell r="A1612">
            <v>44743</v>
          </cell>
          <cell r="B1612" t="str">
            <v>Shadab Sheikh</v>
          </cell>
          <cell r="E1612" t="str">
            <v>RCOGM</v>
          </cell>
          <cell r="F1612" t="str">
            <v>AM</v>
          </cell>
          <cell r="H1612">
            <v>90</v>
          </cell>
          <cell r="I1612">
            <v>15000</v>
          </cell>
        </row>
        <row r="1613">
          <cell r="A1613">
            <v>44743</v>
          </cell>
          <cell r="B1613" t="str">
            <v>Waseem Choudhary</v>
          </cell>
          <cell r="E1613" t="str">
            <v>RCOGM</v>
          </cell>
          <cell r="F1613" t="str">
            <v>AM</v>
          </cell>
          <cell r="H1613">
            <v>100</v>
          </cell>
          <cell r="I1613">
            <v>50000</v>
          </cell>
        </row>
        <row r="1614">
          <cell r="A1614">
            <v>44743</v>
          </cell>
          <cell r="B1614" t="str">
            <v>Hany Jawee</v>
          </cell>
          <cell r="E1614" t="str">
            <v>TME</v>
          </cell>
          <cell r="F1614" t="str">
            <v>D</v>
          </cell>
          <cell r="H1614">
            <v>1421.508280451156</v>
          </cell>
          <cell r="I1614">
            <v>276189.98022798618</v>
          </cell>
        </row>
        <row r="1615">
          <cell r="A1615">
            <v>44743</v>
          </cell>
          <cell r="B1615" t="str">
            <v>Ahmad Ozdamir</v>
          </cell>
          <cell r="E1615" t="str">
            <v>TME</v>
          </cell>
          <cell r="F1615" t="str">
            <v>AM</v>
          </cell>
          <cell r="H1615">
            <v>90.672019783599396</v>
          </cell>
          <cell r="I1615">
            <v>19610.856478859499</v>
          </cell>
        </row>
        <row r="1616">
          <cell r="A1616">
            <v>44743</v>
          </cell>
          <cell r="B1616" t="str">
            <v>Ahmed AlShehhi</v>
          </cell>
          <cell r="E1616" t="str">
            <v>TME</v>
          </cell>
          <cell r="F1616" t="str">
            <v>AM</v>
          </cell>
          <cell r="H1616">
            <v>65.67201978359941</v>
          </cell>
          <cell r="I1616">
            <v>11372.543760549899</v>
          </cell>
        </row>
        <row r="1617">
          <cell r="A1617">
            <v>44743</v>
          </cell>
          <cell r="B1617" t="str">
            <v>Amjad Ilwan</v>
          </cell>
          <cell r="E1617" t="str">
            <v>TME</v>
          </cell>
          <cell r="F1617" t="str">
            <v>AM</v>
          </cell>
          <cell r="H1617">
            <v>95.672019783599396</v>
          </cell>
          <cell r="I1617">
            <v>19662.367708096099</v>
          </cell>
        </row>
        <row r="1618">
          <cell r="A1618">
            <v>44743</v>
          </cell>
          <cell r="B1618" t="str">
            <v>Anastasia Maltseva</v>
          </cell>
          <cell r="E1618" t="str">
            <v>TME</v>
          </cell>
          <cell r="F1618" t="str">
            <v>AM</v>
          </cell>
          <cell r="H1618">
            <v>65.67201978359941</v>
          </cell>
          <cell r="I1618">
            <v>13602.5397234106</v>
          </cell>
        </row>
        <row r="1619">
          <cell r="A1619">
            <v>44743</v>
          </cell>
          <cell r="B1619" t="str">
            <v>Buhari Buhari</v>
          </cell>
          <cell r="E1619" t="str">
            <v>TME</v>
          </cell>
          <cell r="F1619" t="str">
            <v>AM</v>
          </cell>
          <cell r="H1619">
            <v>80.672019783599396</v>
          </cell>
          <cell r="I1619">
            <v>19149.861660247632</v>
          </cell>
        </row>
        <row r="1620">
          <cell r="A1620">
            <v>44743</v>
          </cell>
          <cell r="B1620" t="str">
            <v>Ehab Hajou</v>
          </cell>
          <cell r="E1620" t="str">
            <v>TME</v>
          </cell>
          <cell r="F1620" t="str">
            <v>AM</v>
          </cell>
          <cell r="H1620">
            <v>100.6720197835994</v>
          </cell>
          <cell r="I1620">
            <v>21610.856478859499</v>
          </cell>
        </row>
        <row r="1621">
          <cell r="A1621">
            <v>44743</v>
          </cell>
          <cell r="B1621" t="str">
            <v>Fadi Saleh</v>
          </cell>
          <cell r="E1621" t="str">
            <v>TME</v>
          </cell>
          <cell r="F1621" t="str">
            <v>AM</v>
          </cell>
          <cell r="H1621">
            <v>100.6720197835994</v>
          </cell>
          <cell r="I1621">
            <v>27715.3150680777</v>
          </cell>
        </row>
        <row r="1622">
          <cell r="A1622">
            <v>44743</v>
          </cell>
          <cell r="B1622" t="str">
            <v>Jeevantha Ranasinghe</v>
          </cell>
          <cell r="E1622" t="str">
            <v>TME</v>
          </cell>
          <cell r="F1622" t="str">
            <v>AM</v>
          </cell>
          <cell r="H1622">
            <v>100.6720197835994</v>
          </cell>
          <cell r="I1622">
            <v>15610.856478859499</v>
          </cell>
        </row>
        <row r="1623">
          <cell r="A1623">
            <v>44743</v>
          </cell>
          <cell r="B1623" t="str">
            <v>Khalid Mohammed</v>
          </cell>
          <cell r="E1623" t="str">
            <v>TME</v>
          </cell>
          <cell r="F1623" t="str">
            <v>AM</v>
          </cell>
          <cell r="H1623">
            <v>164.99027683625101</v>
          </cell>
          <cell r="I1623">
            <v>15610.856478859499</v>
          </cell>
        </row>
        <row r="1624">
          <cell r="A1624">
            <v>44743</v>
          </cell>
          <cell r="B1624" t="str">
            <v>Sara Alblooshi</v>
          </cell>
          <cell r="E1624" t="str">
            <v>TME</v>
          </cell>
          <cell r="F1624" t="str">
            <v>AM</v>
          </cell>
          <cell r="H1624">
            <v>80.672019783599396</v>
          </cell>
          <cell r="I1624">
            <v>15610.856478859527</v>
          </cell>
        </row>
        <row r="1625">
          <cell r="A1625">
            <v>44743</v>
          </cell>
          <cell r="B1625" t="str">
            <v>Suleiman Wanni</v>
          </cell>
          <cell r="E1625" t="str">
            <v>TME</v>
          </cell>
          <cell r="F1625" t="str">
            <v>AM</v>
          </cell>
          <cell r="H1625">
            <v>98.384697172494</v>
          </cell>
          <cell r="I1625">
            <v>29472.212239748598</v>
          </cell>
        </row>
        <row r="1626">
          <cell r="A1626">
            <v>44743</v>
          </cell>
          <cell r="B1626" t="str">
            <v>Waseem Suhaf</v>
          </cell>
          <cell r="E1626" t="str">
            <v>TME</v>
          </cell>
          <cell r="F1626" t="str">
            <v>AM</v>
          </cell>
          <cell r="H1626">
            <v>100.6720197835994</v>
          </cell>
          <cell r="I1626">
            <v>29538.3167179437</v>
          </cell>
        </row>
        <row r="1627">
          <cell r="A1627">
            <v>44743</v>
          </cell>
          <cell r="B1627" t="str">
            <v>Iqbal Hussain</v>
          </cell>
          <cell r="E1627" t="str">
            <v>TME</v>
          </cell>
          <cell r="F1627" t="str">
            <v>AM</v>
          </cell>
          <cell r="H1627">
            <v>41</v>
          </cell>
          <cell r="I1627">
            <v>11611</v>
          </cell>
        </row>
        <row r="1628">
          <cell r="A1628">
            <v>44743</v>
          </cell>
          <cell r="B1628" t="str">
            <v>Rijith Menon</v>
          </cell>
          <cell r="E1628" t="str">
            <v>TME</v>
          </cell>
          <cell r="F1628" t="str">
            <v>AM</v>
          </cell>
          <cell r="H1628">
            <v>196</v>
          </cell>
          <cell r="I1628">
            <v>15212</v>
          </cell>
        </row>
        <row r="1629">
          <cell r="A1629">
            <v>44743</v>
          </cell>
          <cell r="B1629" t="str">
            <v>Ahmed Fathy</v>
          </cell>
          <cell r="E1629" t="str">
            <v>TME</v>
          </cell>
          <cell r="F1629" t="str">
            <v>AM</v>
          </cell>
          <cell r="H1629">
            <v>40</v>
          </cell>
          <cell r="I1629">
            <v>10800</v>
          </cell>
        </row>
        <row r="1630">
          <cell r="A1630">
            <v>44774</v>
          </cell>
          <cell r="B1630" t="str">
            <v>Hamzah Nofal</v>
          </cell>
          <cell r="E1630" t="str">
            <v>FCR</v>
          </cell>
          <cell r="F1630" t="str">
            <v>D</v>
          </cell>
          <cell r="H1630">
            <v>1127.3014525701947</v>
          </cell>
          <cell r="I1630">
            <v>206912.64674926954</v>
          </cell>
        </row>
        <row r="1631">
          <cell r="A1631">
            <v>44774</v>
          </cell>
          <cell r="B1631" t="str">
            <v>Eslam Hassan</v>
          </cell>
          <cell r="E1631" t="str">
            <v>FCR</v>
          </cell>
          <cell r="F1631" t="str">
            <v>AM</v>
          </cell>
          <cell r="H1631">
            <v>117</v>
          </cell>
          <cell r="I1631">
            <v>20000</v>
          </cell>
        </row>
        <row r="1632">
          <cell r="A1632">
            <v>44774</v>
          </cell>
          <cell r="B1632" t="str">
            <v>Farha Hameed</v>
          </cell>
          <cell r="E1632" t="str">
            <v>FCR</v>
          </cell>
          <cell r="F1632" t="str">
            <v>AM</v>
          </cell>
          <cell r="H1632">
            <v>76</v>
          </cell>
          <cell r="I1632">
            <v>11000</v>
          </cell>
        </row>
        <row r="1633">
          <cell r="A1633">
            <v>44774</v>
          </cell>
          <cell r="B1633" t="str">
            <v>Mohamad Labban</v>
          </cell>
          <cell r="E1633" t="str">
            <v>FCR</v>
          </cell>
          <cell r="F1633" t="str">
            <v>AM</v>
          </cell>
          <cell r="H1633">
            <v>86</v>
          </cell>
          <cell r="I1633">
            <v>15000</v>
          </cell>
        </row>
        <row r="1634">
          <cell r="A1634">
            <v>44774</v>
          </cell>
          <cell r="B1634" t="str">
            <v>Mohamed Mostafa</v>
          </cell>
          <cell r="E1634" t="str">
            <v>FCR</v>
          </cell>
          <cell r="F1634" t="str">
            <v>AM</v>
          </cell>
          <cell r="H1634">
            <v>86</v>
          </cell>
          <cell r="I1634">
            <v>12000</v>
          </cell>
        </row>
        <row r="1635">
          <cell r="A1635">
            <v>44774</v>
          </cell>
          <cell r="B1635" t="str">
            <v>Nadeem Rasheed</v>
          </cell>
          <cell r="E1635" t="str">
            <v>FCR</v>
          </cell>
          <cell r="F1635" t="str">
            <v>AM</v>
          </cell>
          <cell r="H1635">
            <v>91</v>
          </cell>
          <cell r="I1635">
            <v>28000</v>
          </cell>
        </row>
        <row r="1636">
          <cell r="A1636">
            <v>44774</v>
          </cell>
          <cell r="B1636" t="str">
            <v>Othman Hassan</v>
          </cell>
          <cell r="E1636" t="str">
            <v>FCR</v>
          </cell>
          <cell r="F1636" t="str">
            <v>AM</v>
          </cell>
          <cell r="H1636">
            <v>86</v>
          </cell>
          <cell r="I1636">
            <v>12000</v>
          </cell>
        </row>
        <row r="1637">
          <cell r="A1637">
            <v>44774</v>
          </cell>
          <cell r="B1637" t="str">
            <v>Ranjith Chandran</v>
          </cell>
          <cell r="E1637" t="str">
            <v>FCR</v>
          </cell>
          <cell r="F1637" t="str">
            <v>AM</v>
          </cell>
          <cell r="H1637">
            <v>77</v>
          </cell>
          <cell r="I1637">
            <v>9600</v>
          </cell>
        </row>
        <row r="1638">
          <cell r="A1638">
            <v>44774</v>
          </cell>
          <cell r="B1638" t="str">
            <v>Richard Chandy</v>
          </cell>
          <cell r="E1638" t="str">
            <v>FCR</v>
          </cell>
          <cell r="F1638" t="str">
            <v>AM</v>
          </cell>
          <cell r="H1638">
            <v>81</v>
          </cell>
          <cell r="I1638">
            <v>12500</v>
          </cell>
        </row>
        <row r="1639">
          <cell r="A1639">
            <v>44774</v>
          </cell>
          <cell r="B1639" t="str">
            <v>Simon Williams</v>
          </cell>
          <cell r="E1639" t="str">
            <v>FCR</v>
          </cell>
          <cell r="F1639" t="str">
            <v>AM</v>
          </cell>
          <cell r="H1639">
            <v>86</v>
          </cell>
          <cell r="I1639">
            <v>30000</v>
          </cell>
        </row>
        <row r="1640">
          <cell r="A1640">
            <v>44774</v>
          </cell>
          <cell r="B1640" t="str">
            <v>Usman Zafar Sipra</v>
          </cell>
          <cell r="E1640" t="str">
            <v>FCR</v>
          </cell>
          <cell r="F1640" t="str">
            <v>AM</v>
          </cell>
          <cell r="H1640">
            <v>86</v>
          </cell>
          <cell r="I1640">
            <v>9000</v>
          </cell>
        </row>
        <row r="1641">
          <cell r="A1641">
            <v>44774</v>
          </cell>
          <cell r="B1641" t="str">
            <v>Vineeth Augustine</v>
          </cell>
          <cell r="E1641" t="str">
            <v>FCR</v>
          </cell>
          <cell r="F1641" t="str">
            <v>AM</v>
          </cell>
          <cell r="H1641">
            <v>81</v>
          </cell>
          <cell r="I1641">
            <v>8000</v>
          </cell>
        </row>
        <row r="1642">
          <cell r="A1642">
            <v>44774</v>
          </cell>
          <cell r="B1642" t="str">
            <v>Mohamed Kishk</v>
          </cell>
          <cell r="E1642" t="str">
            <v>FCR</v>
          </cell>
          <cell r="F1642" t="str">
            <v>AM</v>
          </cell>
          <cell r="H1642">
            <v>101</v>
          </cell>
          <cell r="I1642">
            <v>28000</v>
          </cell>
        </row>
        <row r="1643">
          <cell r="A1643">
            <v>44774</v>
          </cell>
          <cell r="B1643" t="str">
            <v>Muhammad Ismail</v>
          </cell>
          <cell r="E1643" t="str">
            <v>FCR</v>
          </cell>
          <cell r="F1643" t="str">
            <v>AM</v>
          </cell>
          <cell r="H1643">
            <v>73</v>
          </cell>
          <cell r="I1643">
            <v>11900</v>
          </cell>
        </row>
        <row r="1644">
          <cell r="A1644">
            <v>44774</v>
          </cell>
          <cell r="B1644" t="str">
            <v>Maitha Bin Malek</v>
          </cell>
          <cell r="E1644" t="str">
            <v>HHTT</v>
          </cell>
          <cell r="F1644" t="str">
            <v>D</v>
          </cell>
          <cell r="H1644">
            <v>794.5527303381881</v>
          </cell>
          <cell r="I1644">
            <v>203441.0730742891</v>
          </cell>
        </row>
        <row r="1645">
          <cell r="A1645">
            <v>44774</v>
          </cell>
          <cell r="B1645" t="str">
            <v>Atef Kassem</v>
          </cell>
          <cell r="E1645" t="str">
            <v>HHTT</v>
          </cell>
          <cell r="F1645" t="str">
            <v>AM</v>
          </cell>
          <cell r="H1645">
            <v>65</v>
          </cell>
          <cell r="I1645">
            <v>16200</v>
          </cell>
        </row>
        <row r="1646">
          <cell r="A1646">
            <v>44774</v>
          </cell>
          <cell r="B1646" t="str">
            <v>Bashar Al Adilee</v>
          </cell>
          <cell r="E1646" t="str">
            <v>HHTT</v>
          </cell>
          <cell r="F1646" t="str">
            <v>AM</v>
          </cell>
          <cell r="H1646">
            <v>70</v>
          </cell>
          <cell r="I1646">
            <v>23500</v>
          </cell>
        </row>
        <row r="1647">
          <cell r="A1647">
            <v>44774</v>
          </cell>
          <cell r="B1647" t="str">
            <v>Favas Kurinhilayil</v>
          </cell>
          <cell r="E1647" t="str">
            <v>HHTT</v>
          </cell>
          <cell r="F1647" t="str">
            <v>AM</v>
          </cell>
          <cell r="H1647">
            <v>80.419462729816999</v>
          </cell>
          <cell r="I1647">
            <v>15000</v>
          </cell>
        </row>
        <row r="1648">
          <cell r="A1648">
            <v>44774</v>
          </cell>
          <cell r="B1648" t="str">
            <v>Feroz Shaikh</v>
          </cell>
          <cell r="E1648" t="str">
            <v>HHTT</v>
          </cell>
          <cell r="F1648" t="str">
            <v>AM</v>
          </cell>
          <cell r="H1648">
            <v>65</v>
          </cell>
          <cell r="I1648">
            <v>16200</v>
          </cell>
        </row>
        <row r="1649">
          <cell r="A1649">
            <v>44774</v>
          </cell>
          <cell r="B1649" t="str">
            <v>Junaid Warris</v>
          </cell>
          <cell r="E1649" t="str">
            <v>HHTT</v>
          </cell>
          <cell r="F1649" t="str">
            <v>AM</v>
          </cell>
          <cell r="H1649">
            <v>65</v>
          </cell>
          <cell r="I1649">
            <v>14000</v>
          </cell>
        </row>
        <row r="1650">
          <cell r="A1650">
            <v>44774</v>
          </cell>
          <cell r="B1650" t="str">
            <v>Muhammad Nauman Khan</v>
          </cell>
          <cell r="E1650" t="str">
            <v>HHTT</v>
          </cell>
          <cell r="F1650" t="str">
            <v>AM</v>
          </cell>
          <cell r="H1650">
            <v>70</v>
          </cell>
          <cell r="I1650">
            <v>16200</v>
          </cell>
        </row>
        <row r="1651">
          <cell r="A1651">
            <v>44774</v>
          </cell>
          <cell r="B1651" t="str">
            <v>Mushahid Hussain Syed</v>
          </cell>
          <cell r="E1651" t="str">
            <v>HHTT</v>
          </cell>
          <cell r="F1651" t="str">
            <v>AM</v>
          </cell>
          <cell r="H1651">
            <v>64</v>
          </cell>
          <cell r="I1651">
            <v>16200</v>
          </cell>
        </row>
        <row r="1652">
          <cell r="A1652">
            <v>44774</v>
          </cell>
          <cell r="B1652" t="str">
            <v>Osama ElWawi</v>
          </cell>
          <cell r="E1652" t="str">
            <v>HHTT</v>
          </cell>
          <cell r="F1652" t="str">
            <v>AM</v>
          </cell>
          <cell r="H1652">
            <v>70</v>
          </cell>
          <cell r="I1652">
            <v>23000</v>
          </cell>
        </row>
        <row r="1653">
          <cell r="A1653">
            <v>44774</v>
          </cell>
          <cell r="B1653" t="str">
            <v>Ramez Al Alami</v>
          </cell>
          <cell r="E1653" t="str">
            <v>HHTT</v>
          </cell>
          <cell r="F1653" t="str">
            <v>AM</v>
          </cell>
          <cell r="H1653">
            <v>70</v>
          </cell>
          <cell r="I1653">
            <v>23500</v>
          </cell>
        </row>
        <row r="1654">
          <cell r="A1654">
            <v>44774</v>
          </cell>
          <cell r="B1654" t="str">
            <v>Ramy Abdel Fattah</v>
          </cell>
          <cell r="E1654" t="str">
            <v>HHTT</v>
          </cell>
          <cell r="F1654" t="str">
            <v>AM</v>
          </cell>
          <cell r="H1654">
            <v>70</v>
          </cell>
          <cell r="I1654">
            <v>16200</v>
          </cell>
        </row>
        <row r="1655">
          <cell r="A1655">
            <v>44774</v>
          </cell>
          <cell r="B1655" t="str">
            <v>Wasim Raja</v>
          </cell>
          <cell r="E1655" t="str">
            <v>HHTT</v>
          </cell>
          <cell r="F1655" t="str">
            <v>AM</v>
          </cell>
          <cell r="H1655">
            <v>80</v>
          </cell>
          <cell r="I1655">
            <v>15000</v>
          </cell>
        </row>
        <row r="1656">
          <cell r="A1656">
            <v>44774</v>
          </cell>
          <cell r="B1656" t="str">
            <v>Ubaid Ahanger</v>
          </cell>
          <cell r="E1656" t="str">
            <v>HHTT</v>
          </cell>
          <cell r="F1656" t="str">
            <v>AM</v>
          </cell>
          <cell r="H1656">
            <v>25</v>
          </cell>
          <cell r="I1656">
            <v>8441</v>
          </cell>
        </row>
        <row r="1657">
          <cell r="A1657">
            <v>44774</v>
          </cell>
          <cell r="B1657" t="str">
            <v>Imran Malik</v>
          </cell>
          <cell r="E1657" t="str">
            <v>RCOGM</v>
          </cell>
          <cell r="F1657" t="str">
            <v>D</v>
          </cell>
          <cell r="H1657">
            <v>1157</v>
          </cell>
          <cell r="I1657">
            <v>192525</v>
          </cell>
        </row>
        <row r="1658">
          <cell r="A1658">
            <v>44774</v>
          </cell>
          <cell r="B1658" t="str">
            <v>AlMas Zaheer</v>
          </cell>
          <cell r="E1658" t="str">
            <v>RCOGM</v>
          </cell>
          <cell r="F1658" t="str">
            <v>AM</v>
          </cell>
          <cell r="H1658">
            <v>95</v>
          </cell>
          <cell r="I1658">
            <v>12000</v>
          </cell>
        </row>
        <row r="1659">
          <cell r="A1659">
            <v>44774</v>
          </cell>
          <cell r="B1659" t="str">
            <v>Shiraz Niazi</v>
          </cell>
          <cell r="E1659" t="str">
            <v>RCOGM</v>
          </cell>
          <cell r="F1659" t="str">
            <v>AM</v>
          </cell>
          <cell r="H1659">
            <v>95</v>
          </cell>
          <cell r="I1659">
            <v>12000</v>
          </cell>
        </row>
        <row r="1660">
          <cell r="A1660">
            <v>44774</v>
          </cell>
          <cell r="B1660" t="str">
            <v>Adnan Bashir</v>
          </cell>
          <cell r="E1660" t="str">
            <v>RCOGM</v>
          </cell>
          <cell r="F1660" t="str">
            <v>AM</v>
          </cell>
          <cell r="H1660">
            <v>70</v>
          </cell>
          <cell r="I1660">
            <v>12000</v>
          </cell>
        </row>
        <row r="1661">
          <cell r="A1661">
            <v>44774</v>
          </cell>
          <cell r="B1661" t="str">
            <v>Aijaz Darzi</v>
          </cell>
          <cell r="E1661" t="str">
            <v>RCOGM</v>
          </cell>
          <cell r="F1661" t="str">
            <v>AM</v>
          </cell>
          <cell r="H1661">
            <v>37</v>
          </cell>
          <cell r="I1661">
            <v>9525</v>
          </cell>
        </row>
        <row r="1662">
          <cell r="A1662">
            <v>44774</v>
          </cell>
          <cell r="B1662" t="str">
            <v>Ali Alzarooni</v>
          </cell>
          <cell r="E1662" t="str">
            <v>RCOGM</v>
          </cell>
          <cell r="F1662" t="str">
            <v>AM</v>
          </cell>
          <cell r="H1662">
            <v>95</v>
          </cell>
          <cell r="I1662">
            <v>12000</v>
          </cell>
        </row>
        <row r="1663">
          <cell r="A1663">
            <v>44774</v>
          </cell>
          <cell r="B1663" t="str">
            <v>Ali Shahin</v>
          </cell>
          <cell r="E1663" t="str">
            <v>RCOGM</v>
          </cell>
          <cell r="F1663" t="str">
            <v>AM</v>
          </cell>
          <cell r="H1663">
            <v>125</v>
          </cell>
          <cell r="I1663">
            <v>24000</v>
          </cell>
        </row>
        <row r="1664">
          <cell r="A1664">
            <v>44774</v>
          </cell>
          <cell r="B1664" t="str">
            <v>Ammar Aladily</v>
          </cell>
          <cell r="E1664" t="str">
            <v>RCOGM</v>
          </cell>
          <cell r="F1664" t="str">
            <v>AM</v>
          </cell>
          <cell r="H1664">
            <v>160</v>
          </cell>
          <cell r="I1664">
            <v>36000</v>
          </cell>
        </row>
        <row r="1665">
          <cell r="A1665">
            <v>44774</v>
          </cell>
          <cell r="B1665" t="str">
            <v>Ayaz Zargar</v>
          </cell>
          <cell r="E1665" t="str">
            <v>RCOGM</v>
          </cell>
          <cell r="F1665" t="str">
            <v>AM</v>
          </cell>
          <cell r="H1665">
            <v>95</v>
          </cell>
          <cell r="I1665">
            <v>12000</v>
          </cell>
        </row>
        <row r="1666">
          <cell r="A1666">
            <v>44774</v>
          </cell>
          <cell r="B1666" t="str">
            <v>Danish Shabir</v>
          </cell>
          <cell r="E1666" t="str">
            <v>RCOGM</v>
          </cell>
          <cell r="F1666" t="str">
            <v>AM</v>
          </cell>
          <cell r="H1666">
            <v>70</v>
          </cell>
          <cell r="I1666">
            <v>15000</v>
          </cell>
        </row>
        <row r="1667">
          <cell r="A1667">
            <v>44774</v>
          </cell>
          <cell r="B1667" t="str">
            <v>Sana Shaikh</v>
          </cell>
          <cell r="E1667" t="str">
            <v>RCOGM</v>
          </cell>
          <cell r="F1667" t="str">
            <v>AM</v>
          </cell>
          <cell r="H1667">
            <v>95</v>
          </cell>
          <cell r="I1667">
            <v>12000</v>
          </cell>
        </row>
        <row r="1668">
          <cell r="A1668">
            <v>44774</v>
          </cell>
          <cell r="B1668" t="str">
            <v>Shabbir Lacewala</v>
          </cell>
          <cell r="E1668" t="str">
            <v>RCOGM</v>
          </cell>
          <cell r="F1668" t="str">
            <v>AM</v>
          </cell>
          <cell r="H1668">
            <v>125</v>
          </cell>
          <cell r="I1668">
            <v>24000</v>
          </cell>
        </row>
        <row r="1669">
          <cell r="A1669">
            <v>44774</v>
          </cell>
          <cell r="B1669" t="str">
            <v>Shadab Sheikh</v>
          </cell>
          <cell r="E1669" t="str">
            <v>RCOGM</v>
          </cell>
          <cell r="F1669" t="str">
            <v>AM</v>
          </cell>
          <cell r="H1669">
            <v>95</v>
          </cell>
          <cell r="I1669">
            <v>12000</v>
          </cell>
        </row>
        <row r="1670">
          <cell r="A1670">
            <v>44774</v>
          </cell>
          <cell r="B1670" t="str">
            <v>Hany Jawee</v>
          </cell>
          <cell r="E1670" t="str">
            <v>TME</v>
          </cell>
          <cell r="F1670" t="str">
            <v>D</v>
          </cell>
          <cell r="H1670">
            <v>1422</v>
          </cell>
          <cell r="I1670">
            <v>202121</v>
          </cell>
        </row>
        <row r="1671">
          <cell r="A1671">
            <v>44774</v>
          </cell>
          <cell r="B1671" t="str">
            <v>Ahmad Ozdamir</v>
          </cell>
          <cell r="E1671" t="str">
            <v>TME</v>
          </cell>
          <cell r="F1671" t="str">
            <v>AM</v>
          </cell>
          <cell r="H1671">
            <v>63</v>
          </cell>
          <cell r="I1671">
            <v>7000</v>
          </cell>
        </row>
        <row r="1672">
          <cell r="A1672">
            <v>44774</v>
          </cell>
          <cell r="B1672" t="str">
            <v>Ahmed AlShehhi</v>
          </cell>
          <cell r="E1672" t="str">
            <v>TME</v>
          </cell>
          <cell r="F1672" t="str">
            <v>AM</v>
          </cell>
          <cell r="H1672">
            <v>27</v>
          </cell>
          <cell r="I1672">
            <v>5121</v>
          </cell>
        </row>
        <row r="1673">
          <cell r="A1673">
            <v>44774</v>
          </cell>
          <cell r="B1673" t="str">
            <v>Amjad Ilwan</v>
          </cell>
          <cell r="E1673" t="str">
            <v>TME</v>
          </cell>
          <cell r="F1673" t="str">
            <v>AM</v>
          </cell>
          <cell r="H1673">
            <v>57</v>
          </cell>
          <cell r="I1673">
            <v>12000</v>
          </cell>
        </row>
        <row r="1674">
          <cell r="A1674">
            <v>44774</v>
          </cell>
          <cell r="B1674" t="str">
            <v>Anastasia Maltseva</v>
          </cell>
          <cell r="E1674" t="str">
            <v>TME</v>
          </cell>
          <cell r="F1674" t="str">
            <v>AM</v>
          </cell>
          <cell r="H1674">
            <v>37</v>
          </cell>
          <cell r="I1674">
            <v>16000</v>
          </cell>
        </row>
        <row r="1675">
          <cell r="A1675">
            <v>44774</v>
          </cell>
          <cell r="B1675" t="str">
            <v>Buhari Buhari</v>
          </cell>
          <cell r="E1675" t="str">
            <v>TME</v>
          </cell>
          <cell r="F1675" t="str">
            <v>AM</v>
          </cell>
          <cell r="H1675">
            <v>82</v>
          </cell>
          <cell r="I1675">
            <v>10000</v>
          </cell>
        </row>
        <row r="1676">
          <cell r="A1676">
            <v>44774</v>
          </cell>
          <cell r="B1676" t="str">
            <v>Ehab Hajou</v>
          </cell>
          <cell r="E1676" t="str">
            <v>TME</v>
          </cell>
          <cell r="F1676" t="str">
            <v>AM</v>
          </cell>
          <cell r="H1676">
            <v>25</v>
          </cell>
          <cell r="I1676">
            <v>32500</v>
          </cell>
        </row>
        <row r="1677">
          <cell r="A1677">
            <v>44774</v>
          </cell>
          <cell r="B1677" t="str">
            <v>Fadi Saleh</v>
          </cell>
          <cell r="E1677" t="str">
            <v>TME</v>
          </cell>
          <cell r="F1677" t="str">
            <v>AM</v>
          </cell>
          <cell r="H1677">
            <v>42</v>
          </cell>
          <cell r="I1677">
            <v>12000</v>
          </cell>
        </row>
        <row r="1678">
          <cell r="A1678">
            <v>44774</v>
          </cell>
          <cell r="B1678" t="str">
            <v>Jeevantha Ranasinghe</v>
          </cell>
          <cell r="E1678" t="str">
            <v>TME</v>
          </cell>
          <cell r="F1678" t="str">
            <v>AM</v>
          </cell>
          <cell r="H1678">
            <v>30</v>
          </cell>
          <cell r="I1678">
            <v>40500</v>
          </cell>
        </row>
        <row r="1679">
          <cell r="A1679">
            <v>44774</v>
          </cell>
          <cell r="B1679" t="str">
            <v>Khalid Mohammed</v>
          </cell>
          <cell r="E1679" t="str">
            <v>TME</v>
          </cell>
          <cell r="F1679" t="str">
            <v>AM</v>
          </cell>
          <cell r="H1679">
            <v>122</v>
          </cell>
          <cell r="I1679">
            <v>10000</v>
          </cell>
        </row>
        <row r="1680">
          <cell r="A1680">
            <v>44774</v>
          </cell>
          <cell r="B1680" t="str">
            <v>Sara Alblooshi</v>
          </cell>
          <cell r="E1680" t="str">
            <v>TME</v>
          </cell>
          <cell r="F1680" t="str">
            <v>AM</v>
          </cell>
          <cell r="H1680">
            <v>20</v>
          </cell>
          <cell r="I1680">
            <v>3000</v>
          </cell>
        </row>
        <row r="1681">
          <cell r="A1681">
            <v>44774</v>
          </cell>
          <cell r="B1681" t="str">
            <v>Suleiman Wanni</v>
          </cell>
          <cell r="E1681" t="str">
            <v>TME</v>
          </cell>
          <cell r="F1681" t="str">
            <v>AM</v>
          </cell>
          <cell r="H1681">
            <v>324</v>
          </cell>
          <cell r="I1681">
            <v>12000</v>
          </cell>
        </row>
        <row r="1682">
          <cell r="A1682">
            <v>44774</v>
          </cell>
          <cell r="B1682" t="str">
            <v>Waseem Suhaf</v>
          </cell>
          <cell r="E1682" t="str">
            <v>TME</v>
          </cell>
          <cell r="F1682" t="str">
            <v>AM</v>
          </cell>
          <cell r="H1682">
            <v>75</v>
          </cell>
          <cell r="I1682">
            <v>12000</v>
          </cell>
        </row>
        <row r="1683">
          <cell r="A1683">
            <v>44774</v>
          </cell>
          <cell r="B1683" t="str">
            <v>Iqbal Hussain</v>
          </cell>
          <cell r="E1683" t="str">
            <v>TME</v>
          </cell>
          <cell r="F1683" t="str">
            <v>AM</v>
          </cell>
          <cell r="H1683">
            <v>334</v>
          </cell>
          <cell r="I1683">
            <v>10000</v>
          </cell>
        </row>
        <row r="1684">
          <cell r="A1684">
            <v>44774</v>
          </cell>
          <cell r="B1684" t="str">
            <v>Rijith Menon</v>
          </cell>
          <cell r="E1684" t="str">
            <v>TME</v>
          </cell>
          <cell r="F1684" t="str">
            <v>AM</v>
          </cell>
          <cell r="H1684">
            <v>152</v>
          </cell>
          <cell r="I1684">
            <v>15000</v>
          </cell>
        </row>
        <row r="1685">
          <cell r="A1685">
            <v>44774</v>
          </cell>
          <cell r="B1685" t="str">
            <v>Ahmed Fathy</v>
          </cell>
          <cell r="E1685" t="str">
            <v>TME</v>
          </cell>
          <cell r="F1685" t="str">
            <v>AM</v>
          </cell>
          <cell r="H1685">
            <v>32</v>
          </cell>
          <cell r="I1685">
            <v>5000</v>
          </cell>
        </row>
        <row r="1686">
          <cell r="A1686">
            <v>44774</v>
          </cell>
          <cell r="B1686" t="str">
            <v>Mohamad Amer Sibai</v>
          </cell>
          <cell r="E1686" t="str">
            <v>DXB</v>
          </cell>
          <cell r="F1686" t="str">
            <v>D</v>
          </cell>
          <cell r="H1686">
            <v>1500</v>
          </cell>
          <cell r="I1686">
            <v>177250</v>
          </cell>
        </row>
        <row r="1687">
          <cell r="A1687">
            <v>44774</v>
          </cell>
          <cell r="B1687" t="str">
            <v>Mohamed Mady</v>
          </cell>
          <cell r="E1687" t="str">
            <v>DXB</v>
          </cell>
          <cell r="F1687" t="str">
            <v>AM</v>
          </cell>
          <cell r="H1687">
            <v>250</v>
          </cell>
          <cell r="I1687">
            <v>25000</v>
          </cell>
        </row>
        <row r="1688">
          <cell r="A1688">
            <v>44774</v>
          </cell>
          <cell r="B1688" t="str">
            <v>Ramzi Gholmieh</v>
          </cell>
          <cell r="E1688" t="str">
            <v>DXB</v>
          </cell>
          <cell r="F1688" t="str">
            <v>AM</v>
          </cell>
          <cell r="H1688">
            <v>250</v>
          </cell>
          <cell r="I1688">
            <v>50750</v>
          </cell>
        </row>
        <row r="1689">
          <cell r="A1689">
            <v>44774</v>
          </cell>
          <cell r="B1689" t="str">
            <v>Buti Bin Salmin</v>
          </cell>
          <cell r="E1689" t="str">
            <v>DXB</v>
          </cell>
          <cell r="F1689" t="str">
            <v>AM</v>
          </cell>
          <cell r="H1689">
            <v>610</v>
          </cell>
          <cell r="I1689">
            <v>50750</v>
          </cell>
        </row>
        <row r="1690">
          <cell r="A1690">
            <v>44774</v>
          </cell>
          <cell r="B1690" t="str">
            <v>Talal Ahmed Ali Alsharhan</v>
          </cell>
          <cell r="E1690" t="str">
            <v>DXB</v>
          </cell>
          <cell r="F1690" t="str">
            <v>AM</v>
          </cell>
          <cell r="H1690">
            <v>390</v>
          </cell>
          <cell r="I1690">
            <v>50750</v>
          </cell>
        </row>
        <row r="1691">
          <cell r="A1691">
            <v>44774</v>
          </cell>
          <cell r="B1691" t="str">
            <v>Khaled Alawadi</v>
          </cell>
          <cell r="E1691" t="str">
            <v>F-NE</v>
          </cell>
          <cell r="F1691" t="str">
            <v>D</v>
          </cell>
          <cell r="H1691">
            <v>5000</v>
          </cell>
          <cell r="I1691">
            <v>177250</v>
          </cell>
        </row>
        <row r="1692">
          <cell r="A1692">
            <v>44774</v>
          </cell>
          <cell r="B1692" t="str">
            <v>Bader Al Shehhi</v>
          </cell>
          <cell r="E1692" t="str">
            <v>F-NE</v>
          </cell>
          <cell r="F1692" t="str">
            <v>AM</v>
          </cell>
          <cell r="H1692">
            <v>100</v>
          </cell>
          <cell r="I1692">
            <v>3500</v>
          </cell>
        </row>
        <row r="1693">
          <cell r="A1693">
            <v>44774</v>
          </cell>
          <cell r="B1693" t="str">
            <v>Majd Nairoukh</v>
          </cell>
          <cell r="E1693" t="str">
            <v>F-NE</v>
          </cell>
          <cell r="F1693" t="str">
            <v>AM</v>
          </cell>
          <cell r="H1693">
            <v>4570</v>
          </cell>
          <cell r="I1693">
            <v>1500</v>
          </cell>
        </row>
        <row r="1694">
          <cell r="A1694">
            <v>44774</v>
          </cell>
          <cell r="B1694" t="str">
            <v>Nader AlMustafa</v>
          </cell>
          <cell r="E1694" t="str">
            <v>F-NE</v>
          </cell>
          <cell r="F1694" t="str">
            <v>AM</v>
          </cell>
          <cell r="H1694">
            <v>20</v>
          </cell>
          <cell r="I1694">
            <v>93000</v>
          </cell>
        </row>
        <row r="1695">
          <cell r="A1695">
            <v>44774</v>
          </cell>
          <cell r="B1695" t="str">
            <v>Tariq AlAwadhi</v>
          </cell>
          <cell r="E1695" t="str">
            <v>F-NE</v>
          </cell>
          <cell r="F1695" t="str">
            <v>AM</v>
          </cell>
          <cell r="H1695">
            <v>10</v>
          </cell>
          <cell r="I1695">
            <v>3000</v>
          </cell>
        </row>
        <row r="1696">
          <cell r="A1696">
            <v>44774</v>
          </cell>
          <cell r="B1696" t="str">
            <v>Yousef Al Baloushi</v>
          </cell>
          <cell r="E1696" t="str">
            <v>F-NE</v>
          </cell>
          <cell r="F1696" t="str">
            <v>AM</v>
          </cell>
          <cell r="H1696">
            <v>300</v>
          </cell>
          <cell r="I1696">
            <v>76250</v>
          </cell>
        </row>
        <row r="1697">
          <cell r="A1697">
            <v>44774</v>
          </cell>
          <cell r="B1697" t="str">
            <v>Khalid Karmastaji</v>
          </cell>
          <cell r="E1697" t="str">
            <v>KA-AUH</v>
          </cell>
          <cell r="F1697" t="str">
            <v>D</v>
          </cell>
          <cell r="H1697">
            <v>3000</v>
          </cell>
          <cell r="I1697">
            <v>177250</v>
          </cell>
        </row>
        <row r="1698">
          <cell r="A1698">
            <v>44774</v>
          </cell>
          <cell r="B1698" t="str">
            <v>Ammar Alqudsi</v>
          </cell>
          <cell r="E1698" t="str">
            <v>KA-AUH</v>
          </cell>
          <cell r="F1698" t="str">
            <v>AM</v>
          </cell>
          <cell r="H1698">
            <v>280</v>
          </cell>
          <cell r="I1698">
            <v>19000</v>
          </cell>
        </row>
        <row r="1699">
          <cell r="A1699">
            <v>44774</v>
          </cell>
          <cell r="B1699" t="str">
            <v>Osman Basuleman</v>
          </cell>
          <cell r="E1699" t="str">
            <v>KA-AUH</v>
          </cell>
          <cell r="F1699" t="str">
            <v>AM</v>
          </cell>
          <cell r="H1699">
            <v>270</v>
          </cell>
          <cell r="I1699">
            <v>17000</v>
          </cell>
        </row>
        <row r="1700">
          <cell r="A1700">
            <v>44774</v>
          </cell>
          <cell r="B1700" t="str">
            <v>Tarek Solh</v>
          </cell>
          <cell r="E1700" t="str">
            <v>KA-AUH</v>
          </cell>
          <cell r="F1700" t="str">
            <v>AM</v>
          </cell>
          <cell r="H1700">
            <v>400</v>
          </cell>
          <cell r="I1700">
            <v>23000</v>
          </cell>
        </row>
        <row r="1701">
          <cell r="A1701">
            <v>44774</v>
          </cell>
          <cell r="B1701" t="str">
            <v>Khamis Almakrani</v>
          </cell>
          <cell r="E1701" t="str">
            <v>KA-AUH</v>
          </cell>
          <cell r="F1701" t="str">
            <v>AM</v>
          </cell>
          <cell r="H1701">
            <v>260</v>
          </cell>
          <cell r="I1701">
            <v>15000</v>
          </cell>
        </row>
        <row r="1702">
          <cell r="A1702">
            <v>44774</v>
          </cell>
          <cell r="B1702" t="str">
            <v>Ahmed Almansoori</v>
          </cell>
          <cell r="E1702" t="str">
            <v>KA-AUH</v>
          </cell>
          <cell r="F1702" t="str">
            <v>AM</v>
          </cell>
          <cell r="H1702">
            <v>330</v>
          </cell>
          <cell r="I1702">
            <v>18250</v>
          </cell>
        </row>
        <row r="1703">
          <cell r="A1703">
            <v>44774</v>
          </cell>
          <cell r="B1703" t="str">
            <v>Khaled Alshamsi</v>
          </cell>
          <cell r="E1703" t="str">
            <v>KA-AUH</v>
          </cell>
          <cell r="F1703" t="str">
            <v>AM</v>
          </cell>
          <cell r="H1703">
            <v>380</v>
          </cell>
          <cell r="I1703">
            <v>20000</v>
          </cell>
        </row>
        <row r="1704">
          <cell r="A1704">
            <v>44774</v>
          </cell>
          <cell r="B1704" t="str">
            <v>Omar AlHammadi</v>
          </cell>
          <cell r="E1704" t="str">
            <v>KA-AUH</v>
          </cell>
          <cell r="F1704" t="str">
            <v>AM</v>
          </cell>
          <cell r="H1704">
            <v>270</v>
          </cell>
          <cell r="I1704">
            <v>16000</v>
          </cell>
        </row>
        <row r="1705">
          <cell r="A1705">
            <v>44774</v>
          </cell>
          <cell r="B1705" t="str">
            <v>Yousef Alhosani</v>
          </cell>
          <cell r="E1705" t="str">
            <v>KA-AUH</v>
          </cell>
          <cell r="F1705" t="str">
            <v>AM</v>
          </cell>
          <cell r="H1705">
            <v>260</v>
          </cell>
          <cell r="I1705">
            <v>16000</v>
          </cell>
        </row>
        <row r="1706">
          <cell r="A1706">
            <v>44774</v>
          </cell>
          <cell r="B1706" t="str">
            <v>Humaid Almaazmi</v>
          </cell>
          <cell r="E1706" t="str">
            <v>KA-AUH</v>
          </cell>
          <cell r="F1706" t="str">
            <v>AM</v>
          </cell>
          <cell r="H1706">
            <v>290</v>
          </cell>
          <cell r="I1706">
            <v>16000</v>
          </cell>
        </row>
        <row r="1707">
          <cell r="A1707">
            <v>44774</v>
          </cell>
          <cell r="B1707" t="str">
            <v>Abdulla Alhashmi</v>
          </cell>
          <cell r="E1707" t="str">
            <v>KA-AUH</v>
          </cell>
          <cell r="F1707" t="str">
            <v>AM</v>
          </cell>
          <cell r="H1707">
            <v>260</v>
          </cell>
          <cell r="I1707">
            <v>17000</v>
          </cell>
        </row>
        <row r="1708">
          <cell r="A1708">
            <v>44774</v>
          </cell>
          <cell r="B1708" t="str">
            <v>Mazen Adem</v>
          </cell>
          <cell r="E1708" t="str">
            <v>KA</v>
          </cell>
          <cell r="F1708" t="str">
            <v>D</v>
          </cell>
          <cell r="H1708">
            <v>1500</v>
          </cell>
          <cell r="I1708">
            <v>177250</v>
          </cell>
        </row>
        <row r="1709">
          <cell r="A1709">
            <v>44774</v>
          </cell>
          <cell r="B1709" t="str">
            <v>Abdel Azim Sharabati</v>
          </cell>
          <cell r="E1709" t="str">
            <v>KA</v>
          </cell>
          <cell r="F1709" t="str">
            <v>AM</v>
          </cell>
          <cell r="H1709">
            <v>170</v>
          </cell>
          <cell r="I1709">
            <v>23000</v>
          </cell>
        </row>
        <row r="1710">
          <cell r="A1710">
            <v>44774</v>
          </cell>
          <cell r="B1710" t="str">
            <v>Abraham Cherian</v>
          </cell>
          <cell r="E1710" t="str">
            <v>KA</v>
          </cell>
          <cell r="F1710" t="str">
            <v>AM</v>
          </cell>
          <cell r="H1710">
            <v>275</v>
          </cell>
          <cell r="I1710">
            <v>30000</v>
          </cell>
        </row>
        <row r="1711">
          <cell r="A1711">
            <v>44774</v>
          </cell>
          <cell r="B1711" t="str">
            <v>Arjun Subaraman</v>
          </cell>
          <cell r="E1711" t="str">
            <v>KA</v>
          </cell>
          <cell r="F1711" t="str">
            <v>AM</v>
          </cell>
          <cell r="H1711">
            <v>475</v>
          </cell>
          <cell r="I1711">
            <v>18250</v>
          </cell>
        </row>
        <row r="1712">
          <cell r="A1712">
            <v>44774</v>
          </cell>
          <cell r="B1712" t="str">
            <v>Ghassan Fouany</v>
          </cell>
          <cell r="E1712" t="str">
            <v>KA</v>
          </cell>
          <cell r="F1712" t="str">
            <v>AM</v>
          </cell>
          <cell r="H1712">
            <v>280</v>
          </cell>
          <cell r="I1712">
            <v>30000</v>
          </cell>
        </row>
        <row r="1713">
          <cell r="A1713">
            <v>44774</v>
          </cell>
          <cell r="B1713" t="str">
            <v>Inayat Fazili</v>
          </cell>
          <cell r="E1713" t="str">
            <v>KA</v>
          </cell>
          <cell r="F1713" t="str">
            <v>AM</v>
          </cell>
          <cell r="H1713">
            <v>135</v>
          </cell>
          <cell r="I1713">
            <v>53000</v>
          </cell>
        </row>
        <row r="1714">
          <cell r="A1714">
            <v>44774</v>
          </cell>
          <cell r="B1714" t="str">
            <v>Mohd Sheikh Salem</v>
          </cell>
          <cell r="E1714" t="str">
            <v>KA</v>
          </cell>
          <cell r="F1714" t="str">
            <v>AM</v>
          </cell>
          <cell r="H1714">
            <v>165</v>
          </cell>
          <cell r="I1714">
            <v>23000</v>
          </cell>
        </row>
        <row r="1715">
          <cell r="A1715">
            <v>44805</v>
          </cell>
          <cell r="B1715" t="str">
            <v>Mohamad Amer Sibai</v>
          </cell>
          <cell r="E1715" t="str">
            <v>DXB</v>
          </cell>
          <cell r="F1715" t="str">
            <v>D</v>
          </cell>
          <cell r="H1715">
            <v>1500</v>
          </cell>
          <cell r="I1715">
            <v>127500</v>
          </cell>
        </row>
        <row r="1716">
          <cell r="A1716">
            <v>44805</v>
          </cell>
          <cell r="B1716" t="str">
            <v>Mohamed Mady</v>
          </cell>
          <cell r="E1716" t="str">
            <v>DXB</v>
          </cell>
          <cell r="F1716" t="str">
            <v>AM</v>
          </cell>
          <cell r="H1716">
            <v>250</v>
          </cell>
          <cell r="I1716">
            <v>55000</v>
          </cell>
        </row>
        <row r="1717">
          <cell r="A1717">
            <v>44805</v>
          </cell>
          <cell r="B1717" t="str">
            <v>Ramzi Gholmieh</v>
          </cell>
          <cell r="E1717" t="str">
            <v>DXB</v>
          </cell>
          <cell r="F1717" t="str">
            <v>AM</v>
          </cell>
          <cell r="H1717">
            <v>250</v>
          </cell>
          <cell r="I1717">
            <v>15000</v>
          </cell>
        </row>
        <row r="1718">
          <cell r="A1718">
            <v>44805</v>
          </cell>
          <cell r="B1718" t="str">
            <v>Buti Bin Salmin</v>
          </cell>
          <cell r="E1718" t="str">
            <v>DXB</v>
          </cell>
          <cell r="F1718" t="str">
            <v>AM</v>
          </cell>
          <cell r="H1718">
            <v>650</v>
          </cell>
          <cell r="I1718">
            <v>7500</v>
          </cell>
        </row>
        <row r="1719">
          <cell r="A1719">
            <v>44805</v>
          </cell>
          <cell r="B1719" t="str">
            <v>Talal Ahmed Ali Alsharhan</v>
          </cell>
          <cell r="E1719" t="str">
            <v>DXB</v>
          </cell>
          <cell r="F1719" t="str">
            <v>AM</v>
          </cell>
          <cell r="H1719">
            <v>350</v>
          </cell>
          <cell r="I1719">
            <v>50000</v>
          </cell>
        </row>
        <row r="1720">
          <cell r="A1720">
            <v>44805</v>
          </cell>
          <cell r="B1720" t="str">
            <v>Khaled Alawadi</v>
          </cell>
          <cell r="E1720" t="str">
            <v>F-NE</v>
          </cell>
          <cell r="F1720" t="str">
            <v>D</v>
          </cell>
          <cell r="H1720">
            <v>5000</v>
          </cell>
          <cell r="I1720">
            <v>127500</v>
          </cell>
        </row>
        <row r="1721">
          <cell r="A1721">
            <v>44805</v>
          </cell>
          <cell r="B1721" t="str">
            <v>Bader Al Shehhi</v>
          </cell>
          <cell r="E1721" t="str">
            <v>F-NE</v>
          </cell>
          <cell r="F1721" t="str">
            <v>AM</v>
          </cell>
          <cell r="H1721">
            <v>105</v>
          </cell>
          <cell r="I1721">
            <v>3300</v>
          </cell>
        </row>
        <row r="1722">
          <cell r="A1722">
            <v>44805</v>
          </cell>
          <cell r="B1722" t="str">
            <v>Majd Nairoukh</v>
          </cell>
          <cell r="E1722" t="str">
            <v>F-NE</v>
          </cell>
          <cell r="F1722" t="str">
            <v>AM</v>
          </cell>
          <cell r="H1722">
            <v>4445</v>
          </cell>
          <cell r="I1722">
            <v>1200</v>
          </cell>
        </row>
        <row r="1723">
          <cell r="A1723">
            <v>44805</v>
          </cell>
          <cell r="B1723" t="str">
            <v>Nader AlMustafa</v>
          </cell>
          <cell r="E1723" t="str">
            <v>F-NE</v>
          </cell>
          <cell r="F1723" t="str">
            <v>AM</v>
          </cell>
          <cell r="H1723">
            <v>40</v>
          </cell>
          <cell r="I1723">
            <v>50000</v>
          </cell>
        </row>
        <row r="1724">
          <cell r="A1724">
            <v>44805</v>
          </cell>
          <cell r="B1724" t="str">
            <v>Tariq AlAwadhi</v>
          </cell>
          <cell r="E1724" t="str">
            <v>F-NE</v>
          </cell>
          <cell r="F1724" t="str">
            <v>AM</v>
          </cell>
          <cell r="H1724">
            <v>10</v>
          </cell>
          <cell r="I1724">
            <v>3000</v>
          </cell>
        </row>
        <row r="1725">
          <cell r="A1725">
            <v>44805</v>
          </cell>
          <cell r="B1725" t="str">
            <v>Yousef Al Baloushi</v>
          </cell>
          <cell r="E1725" t="str">
            <v>F-NE</v>
          </cell>
          <cell r="F1725" t="str">
            <v>AM</v>
          </cell>
          <cell r="H1725">
            <v>400</v>
          </cell>
          <cell r="I1725">
            <v>70000</v>
          </cell>
        </row>
        <row r="1726">
          <cell r="A1726">
            <v>44805</v>
          </cell>
          <cell r="B1726" t="str">
            <v>Khalid Karmastaji</v>
          </cell>
          <cell r="E1726" t="str">
            <v>KA-AUH</v>
          </cell>
          <cell r="F1726" t="str">
            <v>D</v>
          </cell>
          <cell r="H1726">
            <v>2513.3060438946231</v>
          </cell>
          <cell r="I1726">
            <v>127500</v>
          </cell>
        </row>
        <row r="1727">
          <cell r="A1727">
            <v>44805</v>
          </cell>
          <cell r="B1727" t="str">
            <v>Ammar Alqudsi</v>
          </cell>
          <cell r="E1727" t="str">
            <v>KA-AUH</v>
          </cell>
          <cell r="F1727" t="str">
            <v>AM</v>
          </cell>
          <cell r="H1727">
            <v>270</v>
          </cell>
          <cell r="I1727">
            <v>14000</v>
          </cell>
        </row>
        <row r="1728">
          <cell r="A1728">
            <v>44805</v>
          </cell>
          <cell r="B1728" t="str">
            <v>Osman Basuleman</v>
          </cell>
          <cell r="E1728" t="str">
            <v>KA-AUH</v>
          </cell>
          <cell r="F1728" t="str">
            <v>AM</v>
          </cell>
          <cell r="H1728">
            <v>290</v>
          </cell>
          <cell r="I1728">
            <v>14000</v>
          </cell>
        </row>
        <row r="1729">
          <cell r="A1729">
            <v>44805</v>
          </cell>
          <cell r="B1729" t="str">
            <v>Tarek Solh</v>
          </cell>
          <cell r="E1729" t="str">
            <v>KA-AUH</v>
          </cell>
          <cell r="F1729" t="str">
            <v>AM</v>
          </cell>
          <cell r="H1729">
            <v>350</v>
          </cell>
          <cell r="I1729">
            <v>19000</v>
          </cell>
        </row>
        <row r="1730">
          <cell r="A1730">
            <v>44805</v>
          </cell>
          <cell r="B1730" t="str">
            <v>Khamis Almakrani</v>
          </cell>
          <cell r="E1730" t="str">
            <v>KA-AUH</v>
          </cell>
          <cell r="F1730" t="str">
            <v>AM</v>
          </cell>
          <cell r="H1730">
            <v>270</v>
          </cell>
          <cell r="I1730">
            <v>12500</v>
          </cell>
        </row>
        <row r="1731">
          <cell r="A1731">
            <v>44805</v>
          </cell>
          <cell r="B1731" t="str">
            <v>Khaled Alshamsi</v>
          </cell>
          <cell r="E1731" t="str">
            <v>KA-AUH</v>
          </cell>
          <cell r="F1731" t="str">
            <v>AM</v>
          </cell>
          <cell r="H1731">
            <v>290</v>
          </cell>
          <cell r="I1731">
            <v>16000</v>
          </cell>
        </row>
        <row r="1732">
          <cell r="A1732">
            <v>44805</v>
          </cell>
          <cell r="B1732" t="str">
            <v>Omar AlHammadi</v>
          </cell>
          <cell r="E1732" t="str">
            <v>KA-AUH</v>
          </cell>
          <cell r="F1732" t="str">
            <v>AM</v>
          </cell>
          <cell r="H1732">
            <v>270</v>
          </cell>
          <cell r="I1732">
            <v>13000</v>
          </cell>
        </row>
        <row r="1733">
          <cell r="A1733">
            <v>44805</v>
          </cell>
          <cell r="B1733" t="str">
            <v>Yousef Alhosani</v>
          </cell>
          <cell r="E1733" t="str">
            <v>KA-AUH</v>
          </cell>
          <cell r="F1733" t="str">
            <v>AM</v>
          </cell>
          <cell r="H1733">
            <v>250</v>
          </cell>
          <cell r="I1733">
            <v>13000</v>
          </cell>
        </row>
        <row r="1734">
          <cell r="A1734">
            <v>44805</v>
          </cell>
          <cell r="B1734" t="str">
            <v>Humaid Almaazmi</v>
          </cell>
          <cell r="E1734" t="str">
            <v>KA-AUH</v>
          </cell>
          <cell r="F1734" t="str">
            <v>AM</v>
          </cell>
          <cell r="H1734">
            <v>270</v>
          </cell>
          <cell r="I1734">
            <v>13000</v>
          </cell>
        </row>
        <row r="1735">
          <cell r="A1735">
            <v>44805</v>
          </cell>
          <cell r="B1735" t="str">
            <v>Abdulla Alhashmi</v>
          </cell>
          <cell r="E1735" t="str">
            <v>KA-AUH</v>
          </cell>
          <cell r="F1735" t="str">
            <v>AM</v>
          </cell>
          <cell r="H1735">
            <v>253</v>
          </cell>
          <cell r="I1735">
            <v>13000</v>
          </cell>
        </row>
        <row r="1736">
          <cell r="A1736">
            <v>44805</v>
          </cell>
          <cell r="B1736" t="str">
            <v>Mazen Adem</v>
          </cell>
          <cell r="E1736" t="str">
            <v>KA</v>
          </cell>
          <cell r="F1736" t="str">
            <v>D</v>
          </cell>
          <cell r="H1736">
            <v>1500</v>
          </cell>
          <cell r="I1736">
            <v>127500</v>
          </cell>
        </row>
        <row r="1737">
          <cell r="A1737">
            <v>44805</v>
          </cell>
          <cell r="B1737" t="str">
            <v>Abdel Azim Sharabati</v>
          </cell>
          <cell r="E1737" t="str">
            <v>KA</v>
          </cell>
          <cell r="F1737" t="str">
            <v>AM</v>
          </cell>
          <cell r="H1737">
            <v>200</v>
          </cell>
          <cell r="I1737">
            <v>20000</v>
          </cell>
        </row>
        <row r="1738">
          <cell r="A1738">
            <v>44805</v>
          </cell>
          <cell r="B1738" t="str">
            <v>Abraham Cherian</v>
          </cell>
          <cell r="E1738" t="str">
            <v>KA</v>
          </cell>
          <cell r="F1738" t="str">
            <v>AM</v>
          </cell>
          <cell r="H1738">
            <v>375</v>
          </cell>
          <cell r="I1738">
            <v>40000</v>
          </cell>
        </row>
        <row r="1739">
          <cell r="A1739">
            <v>44805</v>
          </cell>
          <cell r="B1739" t="str">
            <v>Arjun Subaraman</v>
          </cell>
          <cell r="E1739" t="str">
            <v>KA</v>
          </cell>
          <cell r="F1739" t="str">
            <v>AM</v>
          </cell>
          <cell r="H1739">
            <v>380</v>
          </cell>
          <cell r="I1739">
            <v>20000</v>
          </cell>
        </row>
        <row r="1740">
          <cell r="A1740">
            <v>44805</v>
          </cell>
          <cell r="B1740" t="str">
            <v>Ghassan Fouany</v>
          </cell>
          <cell r="E1740" t="str">
            <v>KA</v>
          </cell>
          <cell r="F1740" t="str">
            <v>AM</v>
          </cell>
          <cell r="H1740">
            <v>200</v>
          </cell>
          <cell r="I1740">
            <v>23000</v>
          </cell>
        </row>
        <row r="1741">
          <cell r="A1741">
            <v>44805</v>
          </cell>
          <cell r="B1741" t="str">
            <v>Inayat Fazili</v>
          </cell>
          <cell r="E1741" t="str">
            <v>KA</v>
          </cell>
          <cell r="F1741" t="str">
            <v>AM</v>
          </cell>
          <cell r="H1741">
            <v>175</v>
          </cell>
          <cell r="I1741">
            <v>15000</v>
          </cell>
        </row>
        <row r="1742">
          <cell r="A1742">
            <v>44805</v>
          </cell>
          <cell r="B1742" t="str">
            <v>Mohd Sheikh Salem</v>
          </cell>
          <cell r="E1742" t="str">
            <v>KA</v>
          </cell>
          <cell r="F1742" t="str">
            <v>AM</v>
          </cell>
          <cell r="H1742">
            <v>170</v>
          </cell>
          <cell r="I1742">
            <v>9500</v>
          </cell>
        </row>
        <row r="1743">
          <cell r="A1743">
            <v>44805</v>
          </cell>
          <cell r="B1743" t="str">
            <v>Hamzah Nofal</v>
          </cell>
          <cell r="E1743" t="str">
            <v>FCR</v>
          </cell>
          <cell r="F1743" t="str">
            <v>D</v>
          </cell>
          <cell r="H1743">
            <v>1802</v>
          </cell>
          <cell r="I1743">
            <v>164221</v>
          </cell>
        </row>
        <row r="1744">
          <cell r="A1744">
            <v>44805</v>
          </cell>
          <cell r="B1744" t="str">
            <v>Eslam Hassan</v>
          </cell>
          <cell r="E1744" t="str">
            <v>FCR</v>
          </cell>
          <cell r="F1744" t="str">
            <v>AM</v>
          </cell>
          <cell r="H1744">
            <v>250</v>
          </cell>
          <cell r="I1744">
            <v>7800</v>
          </cell>
        </row>
        <row r="1745">
          <cell r="A1745">
            <v>44805</v>
          </cell>
          <cell r="B1745" t="str">
            <v>Farha Hameed</v>
          </cell>
          <cell r="E1745" t="str">
            <v>FCR</v>
          </cell>
          <cell r="F1745" t="str">
            <v>AM</v>
          </cell>
          <cell r="H1745">
            <v>100</v>
          </cell>
          <cell r="I1745">
            <v>13600</v>
          </cell>
        </row>
        <row r="1746">
          <cell r="A1746">
            <v>44805</v>
          </cell>
          <cell r="B1746" t="str">
            <v>Mohamad Labban</v>
          </cell>
          <cell r="E1746" t="str">
            <v>FCR</v>
          </cell>
          <cell r="F1746" t="str">
            <v>AM</v>
          </cell>
          <cell r="H1746">
            <v>100</v>
          </cell>
          <cell r="I1746">
            <v>13600</v>
          </cell>
        </row>
        <row r="1747">
          <cell r="A1747">
            <v>44805</v>
          </cell>
          <cell r="B1747" t="str">
            <v>Mohamed Mostafa</v>
          </cell>
          <cell r="E1747" t="str">
            <v>FCR</v>
          </cell>
          <cell r="F1747" t="str">
            <v>AM</v>
          </cell>
          <cell r="H1747">
            <v>100</v>
          </cell>
          <cell r="I1747">
            <v>13600</v>
          </cell>
        </row>
        <row r="1748">
          <cell r="A1748">
            <v>44805</v>
          </cell>
          <cell r="B1748" t="str">
            <v>Nadeem Rasheed</v>
          </cell>
          <cell r="E1748" t="str">
            <v>FCR</v>
          </cell>
          <cell r="F1748" t="str">
            <v>AM</v>
          </cell>
          <cell r="H1748">
            <v>100</v>
          </cell>
          <cell r="I1748">
            <v>13600</v>
          </cell>
        </row>
        <row r="1749">
          <cell r="A1749">
            <v>44805</v>
          </cell>
          <cell r="B1749" t="str">
            <v>Othman Hassan</v>
          </cell>
          <cell r="E1749" t="str">
            <v>FCR</v>
          </cell>
          <cell r="F1749" t="str">
            <v>AM</v>
          </cell>
          <cell r="H1749">
            <v>100</v>
          </cell>
          <cell r="I1749">
            <v>13600</v>
          </cell>
        </row>
        <row r="1750">
          <cell r="A1750">
            <v>44805</v>
          </cell>
          <cell r="B1750" t="str">
            <v>Ranjith Chandran</v>
          </cell>
          <cell r="E1750" t="str">
            <v>FCR</v>
          </cell>
          <cell r="F1750" t="str">
            <v>AM</v>
          </cell>
          <cell r="H1750">
            <v>100</v>
          </cell>
          <cell r="I1750">
            <v>13600</v>
          </cell>
        </row>
        <row r="1751">
          <cell r="A1751">
            <v>44805</v>
          </cell>
          <cell r="B1751" t="str">
            <v>Richard Chandy</v>
          </cell>
          <cell r="E1751" t="str">
            <v>FCR</v>
          </cell>
          <cell r="F1751" t="str">
            <v>AM</v>
          </cell>
          <cell r="H1751">
            <v>100</v>
          </cell>
          <cell r="I1751">
            <v>13600</v>
          </cell>
        </row>
        <row r="1752">
          <cell r="A1752">
            <v>44805</v>
          </cell>
          <cell r="B1752" t="str">
            <v>Simon Williams</v>
          </cell>
          <cell r="E1752" t="str">
            <v>FCR</v>
          </cell>
          <cell r="F1752" t="str">
            <v>AM</v>
          </cell>
          <cell r="H1752">
            <v>140</v>
          </cell>
          <cell r="I1752">
            <v>12000</v>
          </cell>
        </row>
        <row r="1753">
          <cell r="A1753">
            <v>44805</v>
          </cell>
          <cell r="B1753" t="str">
            <v>Usman Zafar Sipra</v>
          </cell>
          <cell r="E1753" t="str">
            <v>FCR</v>
          </cell>
          <cell r="F1753" t="str">
            <v>AM</v>
          </cell>
          <cell r="H1753">
            <v>100</v>
          </cell>
          <cell r="I1753">
            <v>13600</v>
          </cell>
        </row>
        <row r="1754">
          <cell r="A1754">
            <v>44805</v>
          </cell>
          <cell r="B1754" t="str">
            <v>Vineeth Augustine</v>
          </cell>
          <cell r="E1754" t="str">
            <v>FCR</v>
          </cell>
          <cell r="F1754" t="str">
            <v>AM</v>
          </cell>
          <cell r="H1754">
            <v>150</v>
          </cell>
          <cell r="I1754">
            <v>13600</v>
          </cell>
        </row>
        <row r="1755">
          <cell r="A1755">
            <v>44805</v>
          </cell>
          <cell r="B1755" t="str">
            <v>Mohamed Kishk</v>
          </cell>
          <cell r="E1755" t="str">
            <v>FCR</v>
          </cell>
          <cell r="F1755" t="str">
            <v>AM</v>
          </cell>
          <cell r="H1755">
            <v>250</v>
          </cell>
          <cell r="I1755">
            <v>13600</v>
          </cell>
        </row>
        <row r="1756">
          <cell r="A1756">
            <v>44805</v>
          </cell>
          <cell r="B1756" t="str">
            <v>Muhammad Ismail</v>
          </cell>
          <cell r="E1756" t="str">
            <v>FCR</v>
          </cell>
          <cell r="F1756" t="str">
            <v>AM</v>
          </cell>
          <cell r="H1756">
            <v>187</v>
          </cell>
          <cell r="I1756">
            <v>7421.0033333333304</v>
          </cell>
        </row>
        <row r="1757">
          <cell r="A1757">
            <v>44805</v>
          </cell>
          <cell r="B1757" t="str">
            <v>Muhammad AbdullahTahir</v>
          </cell>
          <cell r="E1757" t="str">
            <v>FCR</v>
          </cell>
          <cell r="F1757" t="str">
            <v>AM</v>
          </cell>
          <cell r="H1757">
            <v>25</v>
          </cell>
          <cell r="I1757">
            <v>1000</v>
          </cell>
        </row>
        <row r="1758">
          <cell r="A1758">
            <v>44805</v>
          </cell>
          <cell r="B1758" t="str">
            <v>Maitha Bin Malek</v>
          </cell>
          <cell r="E1758" t="str">
            <v>HHTT</v>
          </cell>
          <cell r="F1758" t="str">
            <v>D</v>
          </cell>
          <cell r="H1758">
            <v>800</v>
          </cell>
          <cell r="I1758">
            <v>200000</v>
          </cell>
        </row>
        <row r="1759">
          <cell r="A1759">
            <v>44805</v>
          </cell>
          <cell r="B1759" t="str">
            <v>Atef Kassem</v>
          </cell>
          <cell r="E1759" t="str">
            <v>HHTT</v>
          </cell>
          <cell r="F1759" t="str">
            <v>AM</v>
          </cell>
          <cell r="H1759">
            <v>64</v>
          </cell>
          <cell r="I1759">
            <v>22000</v>
          </cell>
        </row>
        <row r="1760">
          <cell r="A1760">
            <v>44805</v>
          </cell>
          <cell r="B1760" t="str">
            <v>Bashar Al Adilee</v>
          </cell>
          <cell r="E1760" t="str">
            <v>HHTT</v>
          </cell>
          <cell r="F1760" t="str">
            <v>AM</v>
          </cell>
          <cell r="H1760">
            <v>69</v>
          </cell>
          <cell r="I1760">
            <v>22500</v>
          </cell>
        </row>
        <row r="1761">
          <cell r="A1761">
            <v>44805</v>
          </cell>
          <cell r="B1761" t="str">
            <v>Favas Kurinhilayil</v>
          </cell>
          <cell r="E1761" t="str">
            <v>HHTT</v>
          </cell>
          <cell r="F1761" t="str">
            <v>AM</v>
          </cell>
          <cell r="H1761">
            <v>64</v>
          </cell>
          <cell r="I1761">
            <v>15000</v>
          </cell>
        </row>
        <row r="1762">
          <cell r="A1762">
            <v>44805</v>
          </cell>
          <cell r="B1762" t="str">
            <v>Feroz Shaikh</v>
          </cell>
          <cell r="E1762" t="str">
            <v>HHTT</v>
          </cell>
          <cell r="F1762" t="str">
            <v>AM</v>
          </cell>
          <cell r="H1762">
            <v>64</v>
          </cell>
          <cell r="I1762">
            <v>17000</v>
          </cell>
        </row>
        <row r="1763">
          <cell r="A1763">
            <v>44805</v>
          </cell>
          <cell r="B1763" t="str">
            <v>Junaid Warris</v>
          </cell>
          <cell r="E1763" t="str">
            <v>HHTT</v>
          </cell>
          <cell r="F1763" t="str">
            <v>AM</v>
          </cell>
          <cell r="H1763">
            <v>64</v>
          </cell>
          <cell r="I1763">
            <v>14000</v>
          </cell>
        </row>
        <row r="1764">
          <cell r="A1764">
            <v>44805</v>
          </cell>
          <cell r="B1764" t="str">
            <v>Muhammad Nauman Khan</v>
          </cell>
          <cell r="E1764" t="str">
            <v>HHTT</v>
          </cell>
          <cell r="F1764" t="str">
            <v>AM</v>
          </cell>
          <cell r="H1764">
            <v>69.147519256927012</v>
          </cell>
          <cell r="I1764">
            <v>15500</v>
          </cell>
        </row>
        <row r="1765">
          <cell r="A1765">
            <v>44805</v>
          </cell>
          <cell r="B1765" t="str">
            <v>Mushahid Hussain Syed</v>
          </cell>
          <cell r="E1765" t="str">
            <v>HHTT</v>
          </cell>
          <cell r="F1765" t="str">
            <v>AM</v>
          </cell>
          <cell r="H1765">
            <v>62.003623505236703</v>
          </cell>
          <cell r="I1765">
            <v>14000</v>
          </cell>
        </row>
        <row r="1766">
          <cell r="A1766">
            <v>44805</v>
          </cell>
          <cell r="B1766" t="str">
            <v>Osama ElWawi</v>
          </cell>
          <cell r="E1766" t="str">
            <v>HHTT</v>
          </cell>
          <cell r="F1766" t="str">
            <v>AM</v>
          </cell>
          <cell r="H1766">
            <v>69</v>
          </cell>
          <cell r="I1766">
            <v>22500</v>
          </cell>
        </row>
        <row r="1767">
          <cell r="A1767">
            <v>44805</v>
          </cell>
          <cell r="B1767" t="str">
            <v>Ramez Al Alami</v>
          </cell>
          <cell r="E1767" t="str">
            <v>HHTT</v>
          </cell>
          <cell r="F1767" t="str">
            <v>AM</v>
          </cell>
          <cell r="H1767">
            <v>69</v>
          </cell>
          <cell r="I1767">
            <v>22500</v>
          </cell>
        </row>
        <row r="1768">
          <cell r="A1768">
            <v>44805</v>
          </cell>
          <cell r="B1768" t="str">
            <v>Ramy Abdel Fattah</v>
          </cell>
          <cell r="E1768" t="str">
            <v>HHTT</v>
          </cell>
          <cell r="F1768" t="str">
            <v>AM</v>
          </cell>
          <cell r="H1768">
            <v>80</v>
          </cell>
          <cell r="I1768">
            <v>17000</v>
          </cell>
        </row>
        <row r="1769">
          <cell r="A1769">
            <v>44805</v>
          </cell>
          <cell r="B1769" t="str">
            <v>Wasim Raja</v>
          </cell>
          <cell r="E1769" t="str">
            <v>HHTT</v>
          </cell>
          <cell r="F1769" t="str">
            <v>AM</v>
          </cell>
          <cell r="H1769">
            <v>89</v>
          </cell>
          <cell r="I1769">
            <v>9000</v>
          </cell>
        </row>
        <row r="1770">
          <cell r="A1770">
            <v>44805</v>
          </cell>
          <cell r="B1770" t="str">
            <v>Ubaid Ahanger</v>
          </cell>
          <cell r="E1770" t="str">
            <v>HHTT</v>
          </cell>
          <cell r="F1770" t="str">
            <v>AM</v>
          </cell>
          <cell r="H1770">
            <v>37</v>
          </cell>
          <cell r="I1770">
            <v>9000</v>
          </cell>
        </row>
        <row r="1771">
          <cell r="A1771">
            <v>44805</v>
          </cell>
          <cell r="B1771" t="str">
            <v>Imran Malik</v>
          </cell>
          <cell r="E1771" t="str">
            <v>RCOGM</v>
          </cell>
          <cell r="F1771" t="str">
            <v>D</v>
          </cell>
          <cell r="H1771">
            <v>1727</v>
          </cell>
          <cell r="I1771">
            <v>153497</v>
          </cell>
        </row>
        <row r="1772">
          <cell r="A1772">
            <v>44805</v>
          </cell>
          <cell r="B1772" t="str">
            <v>AlMas Zaheer</v>
          </cell>
          <cell r="E1772" t="str">
            <v>RCOGM</v>
          </cell>
          <cell r="F1772" t="str">
            <v>AM</v>
          </cell>
          <cell r="H1772">
            <v>98</v>
          </cell>
          <cell r="I1772">
            <v>12791</v>
          </cell>
        </row>
        <row r="1773">
          <cell r="A1773">
            <v>44805</v>
          </cell>
          <cell r="B1773" t="str">
            <v>Shiraz Niazi</v>
          </cell>
          <cell r="E1773" t="str">
            <v>RCOGM</v>
          </cell>
          <cell r="F1773" t="str">
            <v>AM</v>
          </cell>
          <cell r="H1773">
            <v>98</v>
          </cell>
          <cell r="I1773">
            <v>12791</v>
          </cell>
        </row>
        <row r="1774">
          <cell r="A1774">
            <v>44805</v>
          </cell>
          <cell r="B1774" t="str">
            <v>Adnan Bashir</v>
          </cell>
          <cell r="E1774" t="str">
            <v>RCOGM</v>
          </cell>
          <cell r="F1774" t="str">
            <v>AM</v>
          </cell>
          <cell r="H1774">
            <v>239</v>
          </cell>
          <cell r="I1774">
            <v>11793</v>
          </cell>
        </row>
        <row r="1775">
          <cell r="A1775">
            <v>44805</v>
          </cell>
          <cell r="B1775" t="str">
            <v>Aijaz Darzi</v>
          </cell>
          <cell r="E1775" t="str">
            <v>RCOGM</v>
          </cell>
          <cell r="F1775" t="str">
            <v>AM</v>
          </cell>
          <cell r="H1775">
            <v>70</v>
          </cell>
          <cell r="I1775">
            <v>8794</v>
          </cell>
        </row>
        <row r="1776">
          <cell r="A1776">
            <v>44805</v>
          </cell>
          <cell r="B1776" t="str">
            <v>Ali Alzarooni</v>
          </cell>
          <cell r="E1776" t="str">
            <v>RCOGM</v>
          </cell>
          <cell r="F1776" t="str">
            <v>AM</v>
          </cell>
          <cell r="H1776">
            <v>98</v>
          </cell>
          <cell r="I1776">
            <v>12791</v>
          </cell>
        </row>
        <row r="1777">
          <cell r="A1777">
            <v>44805</v>
          </cell>
          <cell r="B1777" t="str">
            <v>Ali Shahin</v>
          </cell>
          <cell r="E1777" t="str">
            <v>RCOGM</v>
          </cell>
          <cell r="F1777" t="str">
            <v>AM</v>
          </cell>
          <cell r="H1777">
            <v>180</v>
          </cell>
          <cell r="I1777">
            <v>12791</v>
          </cell>
        </row>
        <row r="1778">
          <cell r="A1778">
            <v>44805</v>
          </cell>
          <cell r="B1778" t="str">
            <v>Ammar Aladily</v>
          </cell>
          <cell r="E1778" t="str">
            <v>RCOGM</v>
          </cell>
          <cell r="F1778" t="str">
            <v>AM</v>
          </cell>
          <cell r="H1778">
            <v>380</v>
          </cell>
          <cell r="I1778">
            <v>16791</v>
          </cell>
        </row>
        <row r="1779">
          <cell r="A1779">
            <v>44805</v>
          </cell>
          <cell r="B1779" t="str">
            <v>Ayaz Zargar</v>
          </cell>
          <cell r="E1779" t="str">
            <v>RCOGM</v>
          </cell>
          <cell r="F1779" t="str">
            <v>AM</v>
          </cell>
          <cell r="H1779">
            <v>98</v>
          </cell>
          <cell r="I1779">
            <v>12791</v>
          </cell>
        </row>
        <row r="1780">
          <cell r="A1780">
            <v>44805</v>
          </cell>
          <cell r="B1780" t="str">
            <v>Danish Shabir</v>
          </cell>
          <cell r="E1780" t="str">
            <v>RCOGM</v>
          </cell>
          <cell r="F1780" t="str">
            <v>AM</v>
          </cell>
          <cell r="H1780">
            <v>90</v>
          </cell>
          <cell r="I1780">
            <v>12791</v>
          </cell>
        </row>
        <row r="1781">
          <cell r="A1781">
            <v>44805</v>
          </cell>
          <cell r="B1781" t="str">
            <v>Sana Shaikh</v>
          </cell>
          <cell r="E1781" t="str">
            <v>RCOGM</v>
          </cell>
          <cell r="F1781" t="str">
            <v>AM</v>
          </cell>
          <cell r="H1781">
            <v>98</v>
          </cell>
          <cell r="I1781">
            <v>12791</v>
          </cell>
        </row>
        <row r="1782">
          <cell r="A1782">
            <v>44805</v>
          </cell>
          <cell r="B1782" t="str">
            <v>Shabbir Lacewala</v>
          </cell>
          <cell r="E1782" t="str">
            <v>RCOGM</v>
          </cell>
          <cell r="F1782" t="str">
            <v>AM</v>
          </cell>
          <cell r="H1782">
            <v>180</v>
          </cell>
          <cell r="I1782">
            <v>13791</v>
          </cell>
        </row>
        <row r="1783">
          <cell r="A1783">
            <v>44805</v>
          </cell>
          <cell r="B1783" t="str">
            <v>Shadab Sheikh</v>
          </cell>
          <cell r="E1783" t="str">
            <v>RCOGM</v>
          </cell>
          <cell r="F1783" t="str">
            <v>AM</v>
          </cell>
          <cell r="H1783">
            <v>98</v>
          </cell>
          <cell r="I1783">
            <v>12791</v>
          </cell>
        </row>
        <row r="1784">
          <cell r="A1784">
            <v>44805</v>
          </cell>
          <cell r="B1784" t="str">
            <v>Hany Jawee</v>
          </cell>
          <cell r="E1784" t="str">
            <v>TME</v>
          </cell>
          <cell r="F1784" t="str">
            <v>D</v>
          </cell>
          <cell r="H1784">
            <v>1184</v>
          </cell>
          <cell r="I1784">
            <v>232282</v>
          </cell>
        </row>
        <row r="1785">
          <cell r="A1785">
            <v>44805</v>
          </cell>
          <cell r="B1785" t="str">
            <v>Ahmad Ozdamir</v>
          </cell>
          <cell r="E1785" t="str">
            <v>TME</v>
          </cell>
          <cell r="F1785" t="str">
            <v>AM</v>
          </cell>
          <cell r="H1785">
            <v>71</v>
          </cell>
          <cell r="I1785">
            <v>8000</v>
          </cell>
        </row>
        <row r="1786">
          <cell r="A1786">
            <v>44805</v>
          </cell>
          <cell r="B1786" t="str">
            <v>Ahmed AlShehhi</v>
          </cell>
          <cell r="E1786" t="str">
            <v>TME</v>
          </cell>
          <cell r="F1786" t="str">
            <v>AM</v>
          </cell>
          <cell r="H1786">
            <v>40</v>
          </cell>
          <cell r="I1786">
            <v>3000</v>
          </cell>
        </row>
        <row r="1787">
          <cell r="A1787">
            <v>44805</v>
          </cell>
          <cell r="B1787" t="str">
            <v>Amjad Ilwan</v>
          </cell>
          <cell r="E1787" t="str">
            <v>TME</v>
          </cell>
          <cell r="F1787" t="str">
            <v>AM</v>
          </cell>
          <cell r="H1787">
            <v>65</v>
          </cell>
          <cell r="I1787">
            <v>12782</v>
          </cell>
        </row>
        <row r="1788">
          <cell r="A1788">
            <v>44805</v>
          </cell>
          <cell r="B1788" t="str">
            <v>Anastasia Maltseva</v>
          </cell>
          <cell r="E1788" t="str">
            <v>TME</v>
          </cell>
          <cell r="F1788" t="str">
            <v>AM</v>
          </cell>
          <cell r="H1788">
            <v>65</v>
          </cell>
          <cell r="I1788">
            <v>8500</v>
          </cell>
        </row>
        <row r="1789">
          <cell r="A1789">
            <v>44805</v>
          </cell>
          <cell r="B1789" t="str">
            <v>Buhari Buhari</v>
          </cell>
          <cell r="E1789" t="str">
            <v>TME</v>
          </cell>
          <cell r="F1789" t="str">
            <v>AM</v>
          </cell>
          <cell r="H1789">
            <v>65</v>
          </cell>
          <cell r="I1789">
            <v>6500</v>
          </cell>
        </row>
        <row r="1790">
          <cell r="A1790">
            <v>44805</v>
          </cell>
          <cell r="B1790" t="str">
            <v>Ehab Hajou</v>
          </cell>
          <cell r="E1790" t="str">
            <v>TME</v>
          </cell>
          <cell r="F1790" t="str">
            <v>AM</v>
          </cell>
          <cell r="H1790">
            <v>69</v>
          </cell>
          <cell r="I1790">
            <v>20000</v>
          </cell>
        </row>
        <row r="1791">
          <cell r="A1791">
            <v>44805</v>
          </cell>
          <cell r="B1791" t="str">
            <v>Fadi Saleh</v>
          </cell>
          <cell r="E1791" t="str">
            <v>TME</v>
          </cell>
          <cell r="F1791" t="str">
            <v>AM</v>
          </cell>
          <cell r="H1791">
            <v>55</v>
          </cell>
          <cell r="I1791">
            <v>85000</v>
          </cell>
        </row>
        <row r="1792">
          <cell r="A1792">
            <v>44805</v>
          </cell>
          <cell r="B1792" t="str">
            <v>Jeevantha Ranasinghe</v>
          </cell>
          <cell r="E1792" t="str">
            <v>TME</v>
          </cell>
          <cell r="F1792" t="str">
            <v>AM</v>
          </cell>
          <cell r="H1792">
            <v>50</v>
          </cell>
          <cell r="I1792">
            <v>6000</v>
          </cell>
        </row>
        <row r="1793">
          <cell r="A1793">
            <v>44805</v>
          </cell>
          <cell r="B1793" t="str">
            <v>Khalid Mohammed</v>
          </cell>
          <cell r="E1793" t="str">
            <v>TME</v>
          </cell>
          <cell r="F1793" t="str">
            <v>AM</v>
          </cell>
          <cell r="H1793">
            <v>330</v>
          </cell>
          <cell r="I1793">
            <v>10000</v>
          </cell>
        </row>
        <row r="1794">
          <cell r="A1794">
            <v>44805</v>
          </cell>
          <cell r="B1794" t="str">
            <v>Sara Alblooshi</v>
          </cell>
          <cell r="E1794" t="str">
            <v>TME</v>
          </cell>
          <cell r="F1794" t="str">
            <v>AM</v>
          </cell>
          <cell r="H1794">
            <v>45</v>
          </cell>
          <cell r="I1794">
            <v>3000</v>
          </cell>
        </row>
        <row r="1795">
          <cell r="A1795">
            <v>44805</v>
          </cell>
          <cell r="B1795" t="str">
            <v>Suleiman Wanni</v>
          </cell>
          <cell r="E1795" t="str">
            <v>TME</v>
          </cell>
          <cell r="F1795" t="str">
            <v>AM</v>
          </cell>
          <cell r="H1795">
            <v>65</v>
          </cell>
          <cell r="I1795">
            <v>35000</v>
          </cell>
        </row>
        <row r="1796">
          <cell r="A1796">
            <v>44805</v>
          </cell>
          <cell r="B1796" t="str">
            <v>Waseem Suhaf</v>
          </cell>
          <cell r="E1796" t="str">
            <v>TME</v>
          </cell>
          <cell r="F1796" t="str">
            <v>AM</v>
          </cell>
          <cell r="H1796">
            <v>55</v>
          </cell>
          <cell r="I1796">
            <v>10000</v>
          </cell>
        </row>
        <row r="1797">
          <cell r="A1797">
            <v>44805</v>
          </cell>
          <cell r="B1797" t="str">
            <v>Iqbal Hussain</v>
          </cell>
          <cell r="E1797" t="str">
            <v>TME</v>
          </cell>
          <cell r="F1797" t="str">
            <v>AM</v>
          </cell>
          <cell r="H1797">
            <v>49</v>
          </cell>
          <cell r="I1797">
            <v>8500</v>
          </cell>
        </row>
        <row r="1798">
          <cell r="A1798">
            <v>44805</v>
          </cell>
          <cell r="B1798" t="str">
            <v>Rijith Menon</v>
          </cell>
          <cell r="E1798" t="str">
            <v>TME</v>
          </cell>
          <cell r="F1798" t="str">
            <v>AM</v>
          </cell>
          <cell r="H1798">
            <v>120</v>
          </cell>
          <cell r="I1798">
            <v>12000</v>
          </cell>
        </row>
        <row r="1799">
          <cell r="A1799">
            <v>44805</v>
          </cell>
          <cell r="B1799" t="str">
            <v>Ahmed Fathy</v>
          </cell>
          <cell r="E1799" t="str">
            <v>TME</v>
          </cell>
          <cell r="F1799" t="str">
            <v>AM</v>
          </cell>
          <cell r="H1799">
            <v>40</v>
          </cell>
          <cell r="I1799">
            <v>4000</v>
          </cell>
        </row>
        <row r="1800">
          <cell r="A1800">
            <v>44835</v>
          </cell>
          <cell r="B1800" t="str">
            <v>Mohamad Amer Sibai</v>
          </cell>
          <cell r="E1800" t="str">
            <v>DXB</v>
          </cell>
          <cell r="F1800" t="str">
            <v>D</v>
          </cell>
          <cell r="H1800">
            <v>1587</v>
          </cell>
          <cell r="I1800">
            <v>93000</v>
          </cell>
        </row>
        <row r="1801">
          <cell r="A1801">
            <v>44835</v>
          </cell>
          <cell r="B1801" t="str">
            <v>Mohamed Mady</v>
          </cell>
          <cell r="E1801" t="str">
            <v>DXB</v>
          </cell>
          <cell r="F1801" t="str">
            <v>AM</v>
          </cell>
          <cell r="H1801">
            <v>240</v>
          </cell>
          <cell r="I1801">
            <v>35000</v>
          </cell>
        </row>
        <row r="1802">
          <cell r="A1802">
            <v>44835</v>
          </cell>
          <cell r="B1802" t="str">
            <v>Ramzi Gholmieh</v>
          </cell>
          <cell r="E1802" t="str">
            <v>DXB</v>
          </cell>
          <cell r="F1802" t="str">
            <v>AM</v>
          </cell>
          <cell r="H1802">
            <v>240</v>
          </cell>
          <cell r="I1802">
            <v>35000</v>
          </cell>
        </row>
        <row r="1803">
          <cell r="A1803">
            <v>44835</v>
          </cell>
          <cell r="B1803" t="str">
            <v>Buti Bin Salmin</v>
          </cell>
          <cell r="E1803" t="str">
            <v>DXB</v>
          </cell>
          <cell r="F1803" t="str">
            <v>AM</v>
          </cell>
          <cell r="H1803">
            <v>640</v>
          </cell>
          <cell r="I1803">
            <v>9000</v>
          </cell>
        </row>
        <row r="1804">
          <cell r="A1804">
            <v>44835</v>
          </cell>
          <cell r="B1804" t="str">
            <v>Talal Ahmed Ali Alsharhan</v>
          </cell>
          <cell r="E1804" t="str">
            <v>DXB</v>
          </cell>
          <cell r="F1804" t="str">
            <v>AM</v>
          </cell>
          <cell r="H1804">
            <v>467</v>
          </cell>
          <cell r="I1804">
            <v>14000</v>
          </cell>
        </row>
        <row r="1805">
          <cell r="A1805">
            <v>44835</v>
          </cell>
          <cell r="B1805" t="str">
            <v>Khaled Alawadi</v>
          </cell>
          <cell r="E1805" t="str">
            <v>F-NE</v>
          </cell>
          <cell r="F1805" t="str">
            <v>D</v>
          </cell>
          <cell r="H1805">
            <v>6000</v>
          </cell>
          <cell r="I1805">
            <v>77500</v>
          </cell>
        </row>
        <row r="1806">
          <cell r="A1806">
            <v>44835</v>
          </cell>
          <cell r="B1806" t="str">
            <v>Bader Al Shehhi</v>
          </cell>
          <cell r="E1806" t="str">
            <v>F-NE</v>
          </cell>
          <cell r="F1806" t="str">
            <v>AM</v>
          </cell>
          <cell r="H1806">
            <v>120</v>
          </cell>
          <cell r="I1806">
            <v>3500</v>
          </cell>
        </row>
        <row r="1807">
          <cell r="A1807">
            <v>44835</v>
          </cell>
          <cell r="B1807" t="str">
            <v>Majd Nairoukh</v>
          </cell>
          <cell r="E1807" t="str">
            <v>F-NE</v>
          </cell>
          <cell r="F1807" t="str">
            <v>AM</v>
          </cell>
          <cell r="H1807">
            <v>5390</v>
          </cell>
          <cell r="I1807">
            <v>9500</v>
          </cell>
        </row>
        <row r="1808">
          <cell r="A1808">
            <v>44835</v>
          </cell>
          <cell r="B1808" t="str">
            <v>Nader AlMustafa</v>
          </cell>
          <cell r="E1808" t="str">
            <v>F-NE</v>
          </cell>
          <cell r="F1808" t="str">
            <v>AM</v>
          </cell>
          <cell r="H1808">
            <v>70</v>
          </cell>
          <cell r="I1808">
            <v>2250</v>
          </cell>
        </row>
        <row r="1809">
          <cell r="A1809">
            <v>44835</v>
          </cell>
          <cell r="B1809" t="str">
            <v>Tariq AlAwadhi</v>
          </cell>
          <cell r="E1809" t="str">
            <v>F-NE</v>
          </cell>
          <cell r="F1809" t="str">
            <v>AM</v>
          </cell>
          <cell r="H1809">
            <v>20</v>
          </cell>
          <cell r="I1809">
            <v>2250</v>
          </cell>
        </row>
        <row r="1810">
          <cell r="A1810">
            <v>44835</v>
          </cell>
          <cell r="B1810" t="str">
            <v>Yousef Al Baloushi</v>
          </cell>
          <cell r="E1810" t="str">
            <v>F-NE</v>
          </cell>
          <cell r="F1810" t="str">
            <v>AM</v>
          </cell>
          <cell r="H1810">
            <v>400</v>
          </cell>
          <cell r="I1810">
            <v>60000</v>
          </cell>
        </row>
        <row r="1811">
          <cell r="A1811">
            <v>44835</v>
          </cell>
          <cell r="B1811" t="str">
            <v>Khalid Karmastaji</v>
          </cell>
          <cell r="E1811" t="str">
            <v>KA-AUH</v>
          </cell>
          <cell r="F1811" t="str">
            <v>D</v>
          </cell>
          <cell r="H1811">
            <v>2513.3060438946231</v>
          </cell>
          <cell r="I1811">
            <v>90000</v>
          </cell>
        </row>
        <row r="1812">
          <cell r="A1812">
            <v>44835</v>
          </cell>
          <cell r="B1812" t="str">
            <v>Ammar Alqudsi</v>
          </cell>
          <cell r="E1812" t="str">
            <v>KA-AUH</v>
          </cell>
          <cell r="F1812" t="str">
            <v>AM</v>
          </cell>
          <cell r="H1812">
            <v>265</v>
          </cell>
          <cell r="I1812">
            <v>12000</v>
          </cell>
        </row>
        <row r="1813">
          <cell r="A1813">
            <v>44835</v>
          </cell>
          <cell r="B1813" t="str">
            <v>Osman Basuleman</v>
          </cell>
          <cell r="E1813" t="str">
            <v>KA-AUH</v>
          </cell>
          <cell r="F1813" t="str">
            <v>AM</v>
          </cell>
          <cell r="H1813">
            <v>270</v>
          </cell>
          <cell r="I1813">
            <v>9000</v>
          </cell>
        </row>
        <row r="1814">
          <cell r="A1814">
            <v>44835</v>
          </cell>
          <cell r="B1814" t="str">
            <v>Tarek Solh</v>
          </cell>
          <cell r="E1814" t="str">
            <v>KA-AUH</v>
          </cell>
          <cell r="F1814" t="str">
            <v>AM</v>
          </cell>
          <cell r="H1814">
            <v>410</v>
          </cell>
          <cell r="I1814">
            <v>12000</v>
          </cell>
        </row>
        <row r="1815">
          <cell r="A1815">
            <v>44835</v>
          </cell>
          <cell r="B1815" t="str">
            <v>Khamis Almakrani</v>
          </cell>
          <cell r="E1815" t="str">
            <v>KA-AUH</v>
          </cell>
          <cell r="F1815" t="str">
            <v>AM</v>
          </cell>
          <cell r="H1815">
            <v>265</v>
          </cell>
          <cell r="I1815">
            <v>9000</v>
          </cell>
        </row>
        <row r="1816">
          <cell r="A1816">
            <v>44835</v>
          </cell>
          <cell r="B1816" t="str">
            <v>Khaled Alshamsi</v>
          </cell>
          <cell r="E1816" t="str">
            <v>KA-AUH</v>
          </cell>
          <cell r="F1816" t="str">
            <v>AM</v>
          </cell>
          <cell r="H1816">
            <v>290</v>
          </cell>
          <cell r="I1816">
            <v>10000</v>
          </cell>
        </row>
        <row r="1817">
          <cell r="A1817">
            <v>44835</v>
          </cell>
          <cell r="B1817" t="str">
            <v>Omar AlHammadi</v>
          </cell>
          <cell r="E1817" t="str">
            <v>KA-AUH</v>
          </cell>
          <cell r="F1817" t="str">
            <v>AM</v>
          </cell>
          <cell r="H1817">
            <v>270</v>
          </cell>
          <cell r="I1817">
            <v>9000</v>
          </cell>
        </row>
        <row r="1818">
          <cell r="A1818">
            <v>44835</v>
          </cell>
          <cell r="B1818" t="str">
            <v>Yousef Alhosani</v>
          </cell>
          <cell r="E1818" t="str">
            <v>KA-AUH</v>
          </cell>
          <cell r="F1818" t="str">
            <v>AM</v>
          </cell>
          <cell r="H1818">
            <v>240</v>
          </cell>
          <cell r="I1818">
            <v>9000</v>
          </cell>
        </row>
        <row r="1819">
          <cell r="A1819">
            <v>44835</v>
          </cell>
          <cell r="B1819" t="str">
            <v>Humaid Almaazmi</v>
          </cell>
          <cell r="E1819" t="str">
            <v>KA-AUH</v>
          </cell>
          <cell r="F1819" t="str">
            <v>AM</v>
          </cell>
          <cell r="H1819">
            <v>265</v>
          </cell>
          <cell r="I1819">
            <v>10000</v>
          </cell>
        </row>
        <row r="1820">
          <cell r="A1820">
            <v>44835</v>
          </cell>
          <cell r="B1820" t="str">
            <v>Abdulla Alhashmi</v>
          </cell>
          <cell r="E1820" t="str">
            <v>KA-AUH</v>
          </cell>
          <cell r="F1820" t="str">
            <v>AM</v>
          </cell>
          <cell r="H1820">
            <v>238</v>
          </cell>
          <cell r="I1820">
            <v>10000</v>
          </cell>
        </row>
        <row r="1821">
          <cell r="A1821">
            <v>44835</v>
          </cell>
          <cell r="B1821" t="str">
            <v>Mazen Adem</v>
          </cell>
          <cell r="E1821" t="str">
            <v>KA</v>
          </cell>
          <cell r="F1821" t="str">
            <v>D</v>
          </cell>
          <cell r="H1821">
            <v>1900</v>
          </cell>
          <cell r="I1821">
            <v>117500</v>
          </cell>
        </row>
        <row r="1822">
          <cell r="A1822">
            <v>44835</v>
          </cell>
          <cell r="B1822" t="str">
            <v>Abdel Azim Sharabati</v>
          </cell>
          <cell r="E1822" t="str">
            <v>KA</v>
          </cell>
          <cell r="F1822" t="str">
            <v>AM</v>
          </cell>
          <cell r="H1822">
            <v>300</v>
          </cell>
          <cell r="I1822">
            <v>16000</v>
          </cell>
        </row>
        <row r="1823">
          <cell r="A1823">
            <v>44835</v>
          </cell>
          <cell r="B1823" t="str">
            <v>Abraham Cherian</v>
          </cell>
          <cell r="E1823" t="str">
            <v>KA</v>
          </cell>
          <cell r="F1823" t="str">
            <v>AM</v>
          </cell>
          <cell r="H1823">
            <v>275</v>
          </cell>
          <cell r="I1823">
            <v>20000</v>
          </cell>
        </row>
        <row r="1824">
          <cell r="A1824">
            <v>44835</v>
          </cell>
          <cell r="B1824" t="str">
            <v>Arjun Subaraman</v>
          </cell>
          <cell r="E1824" t="str">
            <v>KA</v>
          </cell>
          <cell r="F1824" t="str">
            <v>AM</v>
          </cell>
          <cell r="H1824">
            <v>450</v>
          </cell>
          <cell r="I1824">
            <v>35000</v>
          </cell>
        </row>
        <row r="1825">
          <cell r="A1825">
            <v>44835</v>
          </cell>
          <cell r="B1825" t="str">
            <v>Ghassan Fouany</v>
          </cell>
          <cell r="E1825" t="str">
            <v>KA</v>
          </cell>
          <cell r="F1825" t="str">
            <v>AM</v>
          </cell>
          <cell r="H1825">
            <v>475</v>
          </cell>
          <cell r="I1825">
            <v>13000</v>
          </cell>
        </row>
        <row r="1826">
          <cell r="A1826">
            <v>44835</v>
          </cell>
          <cell r="B1826" t="str">
            <v>Inayat Fazili</v>
          </cell>
          <cell r="E1826" t="str">
            <v>KA</v>
          </cell>
          <cell r="F1826" t="str">
            <v>AM</v>
          </cell>
          <cell r="H1826">
            <v>200</v>
          </cell>
          <cell r="I1826">
            <v>17000</v>
          </cell>
        </row>
        <row r="1827">
          <cell r="A1827">
            <v>44835</v>
          </cell>
          <cell r="B1827" t="str">
            <v>Mohd Sheikh Salem</v>
          </cell>
          <cell r="E1827" t="str">
            <v>KA</v>
          </cell>
          <cell r="F1827" t="str">
            <v>AM</v>
          </cell>
          <cell r="H1827">
            <v>200</v>
          </cell>
          <cell r="I1827">
            <v>16500</v>
          </cell>
        </row>
        <row r="1828">
          <cell r="A1828">
            <v>44835</v>
          </cell>
          <cell r="B1828" t="str">
            <v>Hamzah Nofal</v>
          </cell>
          <cell r="E1828" t="str">
            <v>FCR</v>
          </cell>
          <cell r="F1828" t="str">
            <v>D</v>
          </cell>
          <cell r="H1828">
            <v>1350</v>
          </cell>
          <cell r="I1828">
            <v>192776</v>
          </cell>
        </row>
        <row r="1829">
          <cell r="A1829">
            <v>44835</v>
          </cell>
          <cell r="B1829" t="str">
            <v>Eslam Hassan</v>
          </cell>
          <cell r="E1829" t="str">
            <v>FCR</v>
          </cell>
          <cell r="F1829" t="str">
            <v>AM</v>
          </cell>
          <cell r="H1829">
            <v>70</v>
          </cell>
          <cell r="I1829">
            <v>12750</v>
          </cell>
        </row>
        <row r="1830">
          <cell r="A1830">
            <v>44835</v>
          </cell>
          <cell r="B1830" t="str">
            <v>Farha Hameed</v>
          </cell>
          <cell r="E1830" t="str">
            <v>FCR</v>
          </cell>
          <cell r="F1830" t="str">
            <v>AM</v>
          </cell>
          <cell r="H1830">
            <v>70</v>
          </cell>
          <cell r="I1830">
            <v>12750</v>
          </cell>
        </row>
        <row r="1831">
          <cell r="A1831">
            <v>44835</v>
          </cell>
          <cell r="B1831" t="str">
            <v>Mohamad Labban</v>
          </cell>
          <cell r="E1831" t="str">
            <v>FCR</v>
          </cell>
          <cell r="F1831" t="str">
            <v>AM</v>
          </cell>
          <cell r="H1831">
            <v>70</v>
          </cell>
          <cell r="I1831">
            <v>12750</v>
          </cell>
        </row>
        <row r="1832">
          <cell r="A1832">
            <v>44835</v>
          </cell>
          <cell r="B1832" t="str">
            <v>Mohamed Mostafa</v>
          </cell>
          <cell r="E1832" t="str">
            <v>FCR</v>
          </cell>
          <cell r="F1832" t="str">
            <v>AM</v>
          </cell>
          <cell r="H1832">
            <v>50</v>
          </cell>
          <cell r="I1832">
            <v>14750</v>
          </cell>
        </row>
        <row r="1833">
          <cell r="A1833">
            <v>44835</v>
          </cell>
          <cell r="B1833" t="str">
            <v>Nadeem Rasheed</v>
          </cell>
          <cell r="E1833" t="str">
            <v>FCR</v>
          </cell>
          <cell r="F1833" t="str">
            <v>AM</v>
          </cell>
          <cell r="H1833">
            <v>50</v>
          </cell>
          <cell r="I1833">
            <v>27000</v>
          </cell>
        </row>
        <row r="1834">
          <cell r="A1834">
            <v>44835</v>
          </cell>
          <cell r="B1834" t="str">
            <v>Othman Hassan</v>
          </cell>
          <cell r="E1834" t="str">
            <v>FCR</v>
          </cell>
          <cell r="F1834" t="str">
            <v>AM</v>
          </cell>
          <cell r="H1834">
            <v>120</v>
          </cell>
          <cell r="I1834">
            <v>10750</v>
          </cell>
        </row>
        <row r="1835">
          <cell r="A1835">
            <v>44835</v>
          </cell>
          <cell r="B1835" t="str">
            <v>Ranjith Chandran</v>
          </cell>
          <cell r="E1835" t="str">
            <v>FCR</v>
          </cell>
          <cell r="F1835" t="str">
            <v>AM</v>
          </cell>
          <cell r="H1835">
            <v>50</v>
          </cell>
          <cell r="I1835">
            <v>25000</v>
          </cell>
        </row>
        <row r="1836">
          <cell r="A1836">
            <v>44835</v>
          </cell>
          <cell r="B1836" t="str">
            <v>Richard Chandy</v>
          </cell>
          <cell r="E1836" t="str">
            <v>FCR</v>
          </cell>
          <cell r="F1836" t="str">
            <v>AM</v>
          </cell>
          <cell r="H1836">
            <v>80</v>
          </cell>
          <cell r="I1836">
            <v>11750</v>
          </cell>
        </row>
        <row r="1837">
          <cell r="A1837">
            <v>44835</v>
          </cell>
          <cell r="B1837" t="str">
            <v>Simon Williams</v>
          </cell>
          <cell r="E1837" t="str">
            <v>FCR</v>
          </cell>
          <cell r="F1837" t="str">
            <v>AM</v>
          </cell>
          <cell r="H1837">
            <v>140</v>
          </cell>
          <cell r="I1837">
            <v>10750</v>
          </cell>
        </row>
        <row r="1838">
          <cell r="A1838">
            <v>44835</v>
          </cell>
          <cell r="B1838" t="str">
            <v>Usman Zafar Sipra</v>
          </cell>
          <cell r="E1838" t="str">
            <v>FCR</v>
          </cell>
          <cell r="F1838" t="str">
            <v>AM</v>
          </cell>
          <cell r="H1838">
            <v>70</v>
          </cell>
          <cell r="I1838">
            <v>12750</v>
          </cell>
        </row>
        <row r="1839">
          <cell r="A1839">
            <v>44835</v>
          </cell>
          <cell r="B1839" t="str">
            <v>Peter Sedrak</v>
          </cell>
          <cell r="E1839" t="str">
            <v>FCR</v>
          </cell>
          <cell r="F1839" t="str">
            <v>AM</v>
          </cell>
          <cell r="H1839">
            <v>10</v>
          </cell>
          <cell r="I1839">
            <v>2000</v>
          </cell>
        </row>
        <row r="1840">
          <cell r="A1840">
            <v>44835</v>
          </cell>
          <cell r="B1840" t="str">
            <v>Mohamed Kishk</v>
          </cell>
          <cell r="E1840" t="str">
            <v>FCR</v>
          </cell>
          <cell r="F1840" t="str">
            <v>AM</v>
          </cell>
          <cell r="H1840">
            <v>250</v>
          </cell>
          <cell r="I1840">
            <v>29000</v>
          </cell>
        </row>
        <row r="1841">
          <cell r="A1841">
            <v>44835</v>
          </cell>
          <cell r="B1841" t="str">
            <v>Muhammad Ismail</v>
          </cell>
          <cell r="E1841" t="str">
            <v>FCR</v>
          </cell>
          <cell r="F1841" t="str">
            <v>AM</v>
          </cell>
          <cell r="H1841">
            <v>300</v>
          </cell>
          <cell r="I1841">
            <v>7000</v>
          </cell>
        </row>
        <row r="1842">
          <cell r="A1842">
            <v>44835</v>
          </cell>
          <cell r="B1842" t="str">
            <v>Muhammad AbdullahTahir</v>
          </cell>
          <cell r="E1842" t="str">
            <v>FCR</v>
          </cell>
          <cell r="F1842" t="str">
            <v>AM</v>
          </cell>
          <cell r="H1842">
            <v>20</v>
          </cell>
          <cell r="I1842">
            <v>4000</v>
          </cell>
        </row>
        <row r="1843">
          <cell r="A1843">
            <v>44835</v>
          </cell>
          <cell r="B1843" t="str">
            <v>Maitha Bin Malek</v>
          </cell>
          <cell r="E1843" t="str">
            <v>HHTT</v>
          </cell>
          <cell r="F1843" t="str">
            <v>D</v>
          </cell>
          <cell r="H1843">
            <v>1055</v>
          </cell>
          <cell r="I1843">
            <v>215416</v>
          </cell>
        </row>
        <row r="1844">
          <cell r="A1844">
            <v>44835</v>
          </cell>
          <cell r="B1844" t="str">
            <v>Atef Kassem</v>
          </cell>
          <cell r="E1844" t="str">
            <v>HHTT</v>
          </cell>
          <cell r="F1844" t="str">
            <v>AM</v>
          </cell>
          <cell r="H1844">
            <v>64</v>
          </cell>
          <cell r="I1844">
            <v>19000</v>
          </cell>
        </row>
        <row r="1845">
          <cell r="A1845">
            <v>44835</v>
          </cell>
          <cell r="B1845" t="str">
            <v>Bashar Al Adilee</v>
          </cell>
          <cell r="E1845" t="str">
            <v>HHTT</v>
          </cell>
          <cell r="F1845" t="str">
            <v>AM</v>
          </cell>
          <cell r="H1845">
            <v>83.68178526629022</v>
          </cell>
          <cell r="I1845">
            <v>23000</v>
          </cell>
        </row>
        <row r="1846">
          <cell r="A1846">
            <v>44835</v>
          </cell>
          <cell r="B1846" t="str">
            <v>Favas Kurinhilayil</v>
          </cell>
          <cell r="E1846" t="str">
            <v>HHTT</v>
          </cell>
          <cell r="F1846" t="str">
            <v>AM</v>
          </cell>
          <cell r="H1846">
            <v>64</v>
          </cell>
          <cell r="I1846">
            <v>19000</v>
          </cell>
        </row>
        <row r="1847">
          <cell r="A1847">
            <v>44835</v>
          </cell>
          <cell r="B1847" t="str">
            <v>Feroz Shaikh</v>
          </cell>
          <cell r="E1847" t="str">
            <v>HHTT</v>
          </cell>
          <cell r="F1847" t="str">
            <v>AM</v>
          </cell>
          <cell r="H1847">
            <v>140</v>
          </cell>
          <cell r="I1847">
            <v>19000</v>
          </cell>
        </row>
        <row r="1848">
          <cell r="A1848">
            <v>44835</v>
          </cell>
          <cell r="B1848" t="str">
            <v>Junaid Warris</v>
          </cell>
          <cell r="E1848" t="str">
            <v>HHTT</v>
          </cell>
          <cell r="F1848" t="str">
            <v>AM</v>
          </cell>
          <cell r="H1848">
            <v>64</v>
          </cell>
          <cell r="I1848">
            <v>15416</v>
          </cell>
        </row>
        <row r="1849">
          <cell r="A1849">
            <v>44835</v>
          </cell>
          <cell r="B1849" t="str">
            <v>Muhammad Nauman Khan</v>
          </cell>
          <cell r="E1849" t="str">
            <v>HHTT</v>
          </cell>
          <cell r="F1849" t="str">
            <v>AM</v>
          </cell>
          <cell r="H1849">
            <v>99</v>
          </cell>
          <cell r="I1849">
            <v>19000</v>
          </cell>
        </row>
        <row r="1850">
          <cell r="A1850">
            <v>44835</v>
          </cell>
          <cell r="B1850" t="str">
            <v>Mushahid Hussain Syed</v>
          </cell>
          <cell r="E1850" t="str">
            <v>HHTT</v>
          </cell>
          <cell r="F1850" t="str">
            <v>AM</v>
          </cell>
          <cell r="H1850">
            <v>64</v>
          </cell>
          <cell r="I1850">
            <v>17000</v>
          </cell>
        </row>
        <row r="1851">
          <cell r="A1851">
            <v>44835</v>
          </cell>
          <cell r="B1851" t="str">
            <v>Osama ElWawi</v>
          </cell>
          <cell r="E1851" t="str">
            <v>HHTT</v>
          </cell>
          <cell r="F1851" t="str">
            <v>AM</v>
          </cell>
          <cell r="H1851">
            <v>171</v>
          </cell>
          <cell r="I1851">
            <v>23500</v>
          </cell>
        </row>
        <row r="1852">
          <cell r="A1852">
            <v>44835</v>
          </cell>
          <cell r="B1852" t="str">
            <v>Ramez Al Alami</v>
          </cell>
          <cell r="E1852" t="str">
            <v>HHTT</v>
          </cell>
          <cell r="F1852" t="str">
            <v>AM</v>
          </cell>
          <cell r="H1852">
            <v>120</v>
          </cell>
          <cell r="I1852">
            <v>23500</v>
          </cell>
        </row>
        <row r="1853">
          <cell r="A1853">
            <v>44835</v>
          </cell>
          <cell r="B1853" t="str">
            <v>Ramy Abdel Fattah</v>
          </cell>
          <cell r="E1853" t="str">
            <v>HHTT</v>
          </cell>
          <cell r="F1853" t="str">
            <v>AM</v>
          </cell>
          <cell r="H1853">
            <v>84</v>
          </cell>
          <cell r="I1853">
            <v>19000</v>
          </cell>
        </row>
        <row r="1854">
          <cell r="A1854">
            <v>44835</v>
          </cell>
          <cell r="B1854" t="str">
            <v>Wasim Raja</v>
          </cell>
          <cell r="E1854" t="str">
            <v>HHTT</v>
          </cell>
          <cell r="F1854" t="str">
            <v>AM</v>
          </cell>
          <cell r="H1854">
            <v>64</v>
          </cell>
          <cell r="I1854">
            <v>10000</v>
          </cell>
        </row>
        <row r="1855">
          <cell r="A1855">
            <v>44835</v>
          </cell>
          <cell r="B1855" t="str">
            <v>Ubaid Ahanger</v>
          </cell>
          <cell r="E1855" t="str">
            <v>HHTT</v>
          </cell>
          <cell r="F1855" t="str">
            <v>AM</v>
          </cell>
          <cell r="H1855">
            <v>37</v>
          </cell>
          <cell r="I1855">
            <v>8000</v>
          </cell>
        </row>
        <row r="1856">
          <cell r="A1856">
            <v>44835</v>
          </cell>
          <cell r="B1856" t="str">
            <v>Imran Malik</v>
          </cell>
          <cell r="E1856" t="str">
            <v>RCOGM</v>
          </cell>
          <cell r="F1856" t="str">
            <v>D</v>
          </cell>
          <cell r="H1856">
            <v>1679</v>
          </cell>
          <cell r="I1856">
            <v>153497</v>
          </cell>
        </row>
        <row r="1857">
          <cell r="A1857">
            <v>44835</v>
          </cell>
          <cell r="B1857" t="str">
            <v>AlMas Zaheer</v>
          </cell>
          <cell r="E1857" t="str">
            <v>RCOGM</v>
          </cell>
          <cell r="F1857" t="str">
            <v>AM</v>
          </cell>
          <cell r="H1857">
            <v>60</v>
          </cell>
          <cell r="I1857">
            <v>9874</v>
          </cell>
        </row>
        <row r="1858">
          <cell r="A1858">
            <v>44835</v>
          </cell>
          <cell r="B1858" t="str">
            <v>Shiraz Niazi</v>
          </cell>
          <cell r="E1858" t="str">
            <v>RCOGM</v>
          </cell>
          <cell r="F1858" t="str">
            <v>AM</v>
          </cell>
          <cell r="H1858">
            <v>80</v>
          </cell>
          <cell r="I1858">
            <v>10000</v>
          </cell>
        </row>
        <row r="1859">
          <cell r="A1859">
            <v>44835</v>
          </cell>
          <cell r="B1859" t="str">
            <v>Adnan Bashir</v>
          </cell>
          <cell r="E1859" t="str">
            <v>RCOGM</v>
          </cell>
          <cell r="F1859" t="str">
            <v>AM</v>
          </cell>
          <cell r="H1859">
            <v>80</v>
          </cell>
          <cell r="I1859">
            <v>12423</v>
          </cell>
        </row>
        <row r="1860">
          <cell r="A1860">
            <v>44835</v>
          </cell>
          <cell r="B1860" t="str">
            <v>Aijaz Darzi</v>
          </cell>
          <cell r="E1860" t="str">
            <v>RCOGM</v>
          </cell>
          <cell r="F1860" t="str">
            <v>AM</v>
          </cell>
          <cell r="H1860">
            <v>60</v>
          </cell>
          <cell r="I1860">
            <v>13000</v>
          </cell>
        </row>
        <row r="1861">
          <cell r="A1861">
            <v>44835</v>
          </cell>
          <cell r="B1861" t="str">
            <v>Ali Alzarooni</v>
          </cell>
          <cell r="E1861" t="str">
            <v>RCOGM</v>
          </cell>
          <cell r="F1861" t="str">
            <v>AM</v>
          </cell>
          <cell r="H1861">
            <v>80</v>
          </cell>
          <cell r="I1861">
            <v>9000</v>
          </cell>
        </row>
        <row r="1862">
          <cell r="A1862">
            <v>44835</v>
          </cell>
          <cell r="B1862" t="str">
            <v>Ali Shahin</v>
          </cell>
          <cell r="E1862" t="str">
            <v>RCOGM</v>
          </cell>
          <cell r="F1862" t="str">
            <v>AM</v>
          </cell>
          <cell r="H1862">
            <v>190</v>
          </cell>
          <cell r="I1862">
            <v>14000</v>
          </cell>
        </row>
        <row r="1863">
          <cell r="A1863">
            <v>44835</v>
          </cell>
          <cell r="B1863" t="str">
            <v>Ammar Aladily</v>
          </cell>
          <cell r="E1863" t="str">
            <v>RCOGM</v>
          </cell>
          <cell r="F1863" t="str">
            <v>AM</v>
          </cell>
          <cell r="H1863">
            <v>494</v>
          </cell>
          <cell r="I1863">
            <v>18000</v>
          </cell>
        </row>
        <row r="1864">
          <cell r="A1864">
            <v>44835</v>
          </cell>
          <cell r="B1864" t="str">
            <v>Ayaz Zargar</v>
          </cell>
          <cell r="E1864" t="str">
            <v>RCOGM</v>
          </cell>
          <cell r="F1864" t="str">
            <v>AM</v>
          </cell>
          <cell r="H1864">
            <v>120</v>
          </cell>
          <cell r="I1864">
            <v>14604</v>
          </cell>
        </row>
        <row r="1865">
          <cell r="A1865">
            <v>44835</v>
          </cell>
          <cell r="B1865" t="str">
            <v>Danish Shabir</v>
          </cell>
          <cell r="E1865" t="str">
            <v>RCOGM</v>
          </cell>
          <cell r="F1865" t="str">
            <v>AM</v>
          </cell>
          <cell r="H1865">
            <v>120</v>
          </cell>
          <cell r="I1865">
            <v>13597</v>
          </cell>
        </row>
        <row r="1866">
          <cell r="A1866">
            <v>44835</v>
          </cell>
          <cell r="B1866" t="str">
            <v>Sana Shaikh</v>
          </cell>
          <cell r="E1866" t="str">
            <v>RCOGM</v>
          </cell>
          <cell r="F1866" t="str">
            <v>AM</v>
          </cell>
          <cell r="H1866">
            <v>120</v>
          </cell>
          <cell r="I1866">
            <v>13000</v>
          </cell>
        </row>
        <row r="1867">
          <cell r="A1867">
            <v>44835</v>
          </cell>
          <cell r="B1867" t="str">
            <v>Shabbir Lacewala</v>
          </cell>
          <cell r="E1867" t="str">
            <v>RCOGM</v>
          </cell>
          <cell r="F1867" t="str">
            <v>AM</v>
          </cell>
          <cell r="H1867">
            <v>195</v>
          </cell>
          <cell r="I1867">
            <v>14000</v>
          </cell>
        </row>
        <row r="1868">
          <cell r="A1868">
            <v>44835</v>
          </cell>
          <cell r="B1868" t="str">
            <v>Shadab Sheikh</v>
          </cell>
          <cell r="E1868" t="str">
            <v>RCOGM</v>
          </cell>
          <cell r="F1868" t="str">
            <v>AM</v>
          </cell>
          <cell r="H1868">
            <v>80</v>
          </cell>
          <cell r="I1868">
            <v>12000</v>
          </cell>
        </row>
        <row r="1869">
          <cell r="A1869">
            <v>44835</v>
          </cell>
          <cell r="B1869" t="str">
            <v>Hany Jawee</v>
          </cell>
          <cell r="E1869" t="str">
            <v>TME</v>
          </cell>
          <cell r="F1869" t="str">
            <v>D</v>
          </cell>
          <cell r="H1869">
            <v>1436</v>
          </cell>
          <cell r="I1869">
            <v>188311</v>
          </cell>
        </row>
        <row r="1870">
          <cell r="A1870">
            <v>44835</v>
          </cell>
          <cell r="B1870" t="str">
            <v>Ahmad Ozdamir</v>
          </cell>
          <cell r="E1870" t="str">
            <v>TME</v>
          </cell>
          <cell r="F1870" t="str">
            <v>AM</v>
          </cell>
          <cell r="H1870">
            <v>115</v>
          </cell>
          <cell r="I1870">
            <v>4000</v>
          </cell>
        </row>
        <row r="1871">
          <cell r="A1871">
            <v>44835</v>
          </cell>
          <cell r="B1871" t="str">
            <v>Ahmed AlShehhi</v>
          </cell>
          <cell r="E1871" t="str">
            <v>TME</v>
          </cell>
          <cell r="F1871" t="str">
            <v>AM</v>
          </cell>
          <cell r="H1871">
            <v>55</v>
          </cell>
          <cell r="I1871">
            <v>3000</v>
          </cell>
        </row>
        <row r="1872">
          <cell r="A1872">
            <v>44835</v>
          </cell>
          <cell r="B1872" t="str">
            <v>Amjad Ilwan</v>
          </cell>
          <cell r="E1872" t="str">
            <v>TME</v>
          </cell>
          <cell r="F1872" t="str">
            <v>AM</v>
          </cell>
          <cell r="H1872">
            <v>140</v>
          </cell>
          <cell r="I1872">
            <v>6000</v>
          </cell>
        </row>
        <row r="1873">
          <cell r="A1873">
            <v>44835</v>
          </cell>
          <cell r="B1873" t="str">
            <v>Anastasia Maltseva</v>
          </cell>
          <cell r="E1873" t="str">
            <v>TME</v>
          </cell>
          <cell r="F1873" t="str">
            <v>AM</v>
          </cell>
          <cell r="H1873">
            <v>75</v>
          </cell>
          <cell r="I1873">
            <v>6000</v>
          </cell>
        </row>
        <row r="1874">
          <cell r="A1874">
            <v>44835</v>
          </cell>
          <cell r="B1874" t="str">
            <v>Buhari Buhari</v>
          </cell>
          <cell r="E1874" t="str">
            <v>TME</v>
          </cell>
          <cell r="F1874" t="str">
            <v>AM</v>
          </cell>
          <cell r="H1874">
            <v>75</v>
          </cell>
          <cell r="I1874">
            <v>12500</v>
          </cell>
        </row>
        <row r="1875">
          <cell r="A1875">
            <v>44835</v>
          </cell>
          <cell r="B1875" t="str">
            <v>Ehab Hajou</v>
          </cell>
          <cell r="E1875" t="str">
            <v>TME</v>
          </cell>
          <cell r="F1875" t="str">
            <v>AM</v>
          </cell>
          <cell r="H1875">
            <v>125</v>
          </cell>
          <cell r="I1875">
            <v>6000</v>
          </cell>
        </row>
        <row r="1876">
          <cell r="A1876">
            <v>44835</v>
          </cell>
          <cell r="B1876" t="str">
            <v>Fadi Saleh</v>
          </cell>
          <cell r="E1876" t="str">
            <v>TME</v>
          </cell>
          <cell r="F1876" t="str">
            <v>AM</v>
          </cell>
          <cell r="H1876">
            <v>120</v>
          </cell>
          <cell r="I1876">
            <v>81811</v>
          </cell>
        </row>
        <row r="1877">
          <cell r="A1877">
            <v>44835</v>
          </cell>
          <cell r="B1877" t="str">
            <v>Jeevantha Ranasinghe</v>
          </cell>
          <cell r="E1877" t="str">
            <v>TME</v>
          </cell>
          <cell r="F1877" t="str">
            <v>AM</v>
          </cell>
          <cell r="H1877">
            <v>115</v>
          </cell>
          <cell r="I1877">
            <v>5500</v>
          </cell>
        </row>
        <row r="1878">
          <cell r="A1878">
            <v>44835</v>
          </cell>
          <cell r="B1878" t="str">
            <v>Khalid Mohammed</v>
          </cell>
          <cell r="E1878" t="str">
            <v>TME</v>
          </cell>
          <cell r="F1878" t="str">
            <v>AM</v>
          </cell>
          <cell r="H1878">
            <v>95</v>
          </cell>
          <cell r="I1878">
            <v>15000</v>
          </cell>
        </row>
        <row r="1879">
          <cell r="A1879">
            <v>44835</v>
          </cell>
          <cell r="B1879" t="str">
            <v>Sara Alblooshi</v>
          </cell>
          <cell r="E1879" t="str">
            <v>TME</v>
          </cell>
          <cell r="F1879" t="str">
            <v>AM</v>
          </cell>
          <cell r="H1879">
            <v>75</v>
          </cell>
          <cell r="I1879">
            <v>3000</v>
          </cell>
        </row>
        <row r="1880">
          <cell r="A1880">
            <v>44835</v>
          </cell>
          <cell r="B1880" t="str">
            <v>Suleiman Wanni</v>
          </cell>
          <cell r="E1880" t="str">
            <v>TME</v>
          </cell>
          <cell r="F1880" t="str">
            <v>AM</v>
          </cell>
          <cell r="H1880">
            <v>115</v>
          </cell>
          <cell r="I1880">
            <v>20000</v>
          </cell>
        </row>
        <row r="1881">
          <cell r="A1881">
            <v>44835</v>
          </cell>
          <cell r="B1881" t="str">
            <v>Waseem Suhaf</v>
          </cell>
          <cell r="E1881" t="str">
            <v>TME</v>
          </cell>
          <cell r="F1881" t="str">
            <v>AM</v>
          </cell>
          <cell r="H1881">
            <v>115</v>
          </cell>
          <cell r="I1881">
            <v>4000</v>
          </cell>
        </row>
        <row r="1882">
          <cell r="A1882">
            <v>44835</v>
          </cell>
          <cell r="B1882" t="str">
            <v>Iqbal Hussain</v>
          </cell>
          <cell r="E1882" t="str">
            <v>TME</v>
          </cell>
          <cell r="F1882" t="str">
            <v>AM</v>
          </cell>
          <cell r="H1882">
            <v>66</v>
          </cell>
          <cell r="I1882">
            <v>3500</v>
          </cell>
        </row>
        <row r="1883">
          <cell r="A1883">
            <v>44835</v>
          </cell>
          <cell r="B1883" t="str">
            <v>Rijith Menon</v>
          </cell>
          <cell r="E1883" t="str">
            <v>TME</v>
          </cell>
          <cell r="F1883" t="str">
            <v>AM</v>
          </cell>
          <cell r="H1883">
            <v>150</v>
          </cell>
          <cell r="I1883">
            <v>18000</v>
          </cell>
        </row>
        <row r="1884">
          <cell r="A1884">
            <v>44866</v>
          </cell>
          <cell r="B1884" t="str">
            <v>Mohamad Amer Sibai</v>
          </cell>
          <cell r="E1884" t="str">
            <v>DXB</v>
          </cell>
          <cell r="F1884" t="str">
            <v>D</v>
          </cell>
          <cell r="H1884">
            <v>150</v>
          </cell>
          <cell r="I1884">
            <v>120000</v>
          </cell>
        </row>
        <row r="1885">
          <cell r="A1885">
            <v>44866</v>
          </cell>
          <cell r="B1885" t="str">
            <v>Mohamed Mady</v>
          </cell>
          <cell r="E1885" t="str">
            <v>DXB</v>
          </cell>
          <cell r="F1885" t="str">
            <v>AM</v>
          </cell>
          <cell r="H1885">
            <v>37.5</v>
          </cell>
          <cell r="I1885">
            <v>20000</v>
          </cell>
        </row>
        <row r="1886">
          <cell r="A1886">
            <v>44866</v>
          </cell>
          <cell r="B1886" t="str">
            <v>Ramzi Gholmieh</v>
          </cell>
          <cell r="E1886" t="str">
            <v>DXB</v>
          </cell>
          <cell r="F1886" t="str">
            <v>AM</v>
          </cell>
          <cell r="H1886">
            <v>37.5</v>
          </cell>
          <cell r="I1886">
            <v>40000</v>
          </cell>
        </row>
        <row r="1887">
          <cell r="A1887">
            <v>44866</v>
          </cell>
          <cell r="B1887" t="str">
            <v>Buti Bin Salmin</v>
          </cell>
          <cell r="E1887" t="str">
            <v>DXB</v>
          </cell>
          <cell r="F1887" t="str">
            <v>AM</v>
          </cell>
          <cell r="H1887">
            <v>37.5</v>
          </cell>
          <cell r="I1887">
            <v>5000</v>
          </cell>
        </row>
        <row r="1888">
          <cell r="A1888">
            <v>44866</v>
          </cell>
          <cell r="B1888" t="str">
            <v>Talal Ahmed Ali Alsharhan</v>
          </cell>
          <cell r="E1888" t="str">
            <v>DXB</v>
          </cell>
          <cell r="F1888" t="str">
            <v>AM</v>
          </cell>
          <cell r="H1888">
            <v>37.5</v>
          </cell>
          <cell r="I1888">
            <v>55000</v>
          </cell>
        </row>
        <row r="1889">
          <cell r="A1889">
            <v>44866</v>
          </cell>
          <cell r="B1889" t="str">
            <v>Khaled Alawadi</v>
          </cell>
          <cell r="E1889" t="str">
            <v>F-NE</v>
          </cell>
          <cell r="F1889" t="str">
            <v>D</v>
          </cell>
          <cell r="H1889">
            <v>200</v>
          </cell>
          <cell r="I1889">
            <v>50000</v>
          </cell>
        </row>
        <row r="1890">
          <cell r="A1890">
            <v>44866</v>
          </cell>
          <cell r="B1890" t="str">
            <v>Bader Al Shehhi</v>
          </cell>
          <cell r="E1890" t="str">
            <v>F-NE</v>
          </cell>
          <cell r="F1890" t="str">
            <v>AM</v>
          </cell>
          <cell r="H1890">
            <v>20</v>
          </cell>
          <cell r="I1890">
            <v>16500</v>
          </cell>
        </row>
        <row r="1891">
          <cell r="A1891">
            <v>44866</v>
          </cell>
          <cell r="B1891" t="str">
            <v>Majd Nairoukh</v>
          </cell>
          <cell r="E1891" t="str">
            <v>F-NE</v>
          </cell>
          <cell r="F1891" t="str">
            <v>AM</v>
          </cell>
          <cell r="H1891">
            <v>40</v>
          </cell>
          <cell r="I1891">
            <v>10000</v>
          </cell>
        </row>
        <row r="1892">
          <cell r="A1892">
            <v>44866</v>
          </cell>
          <cell r="B1892" t="str">
            <v>Nader AlMustafa</v>
          </cell>
          <cell r="E1892" t="str">
            <v>F-NE</v>
          </cell>
          <cell r="F1892" t="str">
            <v>AM</v>
          </cell>
          <cell r="H1892">
            <v>120</v>
          </cell>
          <cell r="I1892">
            <v>4000</v>
          </cell>
        </row>
        <row r="1893">
          <cell r="A1893">
            <v>44866</v>
          </cell>
          <cell r="B1893" t="str">
            <v>Tariq AlAwadhi</v>
          </cell>
          <cell r="E1893" t="str">
            <v>F-NE</v>
          </cell>
          <cell r="F1893" t="str">
            <v>AM</v>
          </cell>
          <cell r="H1893">
            <v>10</v>
          </cell>
          <cell r="I1893">
            <v>1000</v>
          </cell>
        </row>
        <row r="1894">
          <cell r="A1894">
            <v>44866</v>
          </cell>
          <cell r="B1894" t="str">
            <v>Yousef Al Baloushi</v>
          </cell>
          <cell r="E1894" t="str">
            <v>F-NE</v>
          </cell>
          <cell r="F1894" t="str">
            <v>AM</v>
          </cell>
          <cell r="H1894">
            <v>10</v>
          </cell>
          <cell r="I1894">
            <v>18500</v>
          </cell>
        </row>
        <row r="1895">
          <cell r="A1895">
            <v>44866</v>
          </cell>
          <cell r="B1895" t="str">
            <v>Khalid Karmastaji</v>
          </cell>
          <cell r="E1895" t="str">
            <v>KA-AUH</v>
          </cell>
          <cell r="F1895" t="str">
            <v>D</v>
          </cell>
          <cell r="H1895">
            <v>300</v>
          </cell>
          <cell r="I1895">
            <v>150000</v>
          </cell>
        </row>
        <row r="1896">
          <cell r="A1896">
            <v>44866</v>
          </cell>
          <cell r="B1896" t="str">
            <v>Ammar Alqudsi</v>
          </cell>
          <cell r="E1896" t="str">
            <v>KA-AUH</v>
          </cell>
          <cell r="F1896" t="str">
            <v>AM</v>
          </cell>
          <cell r="H1896">
            <v>30</v>
          </cell>
          <cell r="I1896">
            <v>15000</v>
          </cell>
        </row>
        <row r="1897">
          <cell r="A1897">
            <v>44866</v>
          </cell>
          <cell r="B1897" t="str">
            <v>Osman Basuleman</v>
          </cell>
          <cell r="E1897" t="str">
            <v>KA-AUH</v>
          </cell>
          <cell r="F1897" t="str">
            <v>AM</v>
          </cell>
          <cell r="H1897">
            <v>35</v>
          </cell>
          <cell r="I1897">
            <v>33000</v>
          </cell>
        </row>
        <row r="1898">
          <cell r="A1898">
            <v>44866</v>
          </cell>
          <cell r="B1898" t="str">
            <v>Tarek Solh</v>
          </cell>
          <cell r="E1898" t="str">
            <v>KA-AUH</v>
          </cell>
          <cell r="F1898" t="str">
            <v>AM</v>
          </cell>
          <cell r="H1898">
            <v>100</v>
          </cell>
          <cell r="I1898">
            <v>33000</v>
          </cell>
        </row>
        <row r="1899">
          <cell r="A1899">
            <v>44866</v>
          </cell>
          <cell r="B1899" t="str">
            <v>Khamis Almakrani</v>
          </cell>
          <cell r="E1899" t="str">
            <v>KA-AUH</v>
          </cell>
          <cell r="F1899" t="str">
            <v>AM</v>
          </cell>
          <cell r="H1899">
            <v>20</v>
          </cell>
          <cell r="I1899">
            <v>10000</v>
          </cell>
        </row>
        <row r="1900">
          <cell r="A1900">
            <v>44866</v>
          </cell>
          <cell r="B1900" t="str">
            <v>Khaled Alshamsi</v>
          </cell>
          <cell r="E1900" t="str">
            <v>KA-AUH</v>
          </cell>
          <cell r="F1900" t="str">
            <v>AM</v>
          </cell>
          <cell r="H1900">
            <v>33</v>
          </cell>
          <cell r="I1900">
            <v>18000</v>
          </cell>
        </row>
        <row r="1901">
          <cell r="A1901">
            <v>44866</v>
          </cell>
          <cell r="B1901" t="str">
            <v>Omar AlHammadi</v>
          </cell>
          <cell r="E1901" t="str">
            <v>KA-AUH</v>
          </cell>
          <cell r="F1901" t="str">
            <v>AM</v>
          </cell>
          <cell r="H1901">
            <v>21</v>
          </cell>
          <cell r="I1901">
            <v>10000</v>
          </cell>
        </row>
        <row r="1902">
          <cell r="A1902">
            <v>44866</v>
          </cell>
          <cell r="B1902" t="str">
            <v>Yousef Alhosani</v>
          </cell>
          <cell r="E1902" t="str">
            <v>KA-AUH</v>
          </cell>
          <cell r="F1902" t="str">
            <v>AM</v>
          </cell>
          <cell r="H1902">
            <v>21</v>
          </cell>
          <cell r="I1902">
            <v>10000</v>
          </cell>
        </row>
        <row r="1903">
          <cell r="A1903">
            <v>44866</v>
          </cell>
          <cell r="B1903" t="str">
            <v>Humaid Almaazmi</v>
          </cell>
          <cell r="E1903" t="str">
            <v>KA-AUH</v>
          </cell>
          <cell r="F1903" t="str">
            <v>AM</v>
          </cell>
          <cell r="H1903">
            <v>20</v>
          </cell>
          <cell r="I1903">
            <v>10000</v>
          </cell>
        </row>
        <row r="1904">
          <cell r="A1904">
            <v>44866</v>
          </cell>
          <cell r="B1904" t="str">
            <v>Abdulla Alhashmi</v>
          </cell>
          <cell r="E1904" t="str">
            <v>KA-AUH</v>
          </cell>
          <cell r="F1904" t="str">
            <v>AM</v>
          </cell>
          <cell r="H1904">
            <v>20</v>
          </cell>
          <cell r="I1904">
            <v>11000</v>
          </cell>
        </row>
        <row r="1905">
          <cell r="A1905">
            <v>44866</v>
          </cell>
          <cell r="B1905" t="str">
            <v>Mazen Adem</v>
          </cell>
          <cell r="E1905" t="str">
            <v>KA</v>
          </cell>
          <cell r="F1905" t="str">
            <v>D</v>
          </cell>
          <cell r="H1905">
            <v>550</v>
          </cell>
          <cell r="I1905">
            <v>130000</v>
          </cell>
        </row>
        <row r="1906">
          <cell r="A1906">
            <v>44866</v>
          </cell>
          <cell r="B1906" t="str">
            <v>Abdel Azim Sharabati</v>
          </cell>
          <cell r="E1906" t="str">
            <v>KA</v>
          </cell>
          <cell r="F1906" t="str">
            <v>AM</v>
          </cell>
          <cell r="H1906">
            <v>100</v>
          </cell>
          <cell r="I1906">
            <v>18000</v>
          </cell>
        </row>
        <row r="1907">
          <cell r="A1907">
            <v>44866</v>
          </cell>
          <cell r="B1907" t="str">
            <v>Abraham Cherian</v>
          </cell>
          <cell r="E1907" t="str">
            <v>KA</v>
          </cell>
          <cell r="F1907" t="str">
            <v>AM</v>
          </cell>
          <cell r="H1907">
            <v>120</v>
          </cell>
          <cell r="I1907">
            <v>43000</v>
          </cell>
        </row>
        <row r="1908">
          <cell r="A1908">
            <v>44866</v>
          </cell>
          <cell r="B1908" t="str">
            <v>Arjun Subaraman</v>
          </cell>
          <cell r="E1908" t="str">
            <v>KA</v>
          </cell>
          <cell r="F1908" t="str">
            <v>AM</v>
          </cell>
          <cell r="H1908">
            <v>50</v>
          </cell>
          <cell r="I1908">
            <v>30000</v>
          </cell>
        </row>
        <row r="1909">
          <cell r="A1909">
            <v>44866</v>
          </cell>
          <cell r="B1909" t="str">
            <v>Ghassan Fouany</v>
          </cell>
          <cell r="E1909" t="str">
            <v>KA</v>
          </cell>
          <cell r="F1909" t="str">
            <v>AM</v>
          </cell>
          <cell r="H1909">
            <v>180</v>
          </cell>
          <cell r="I1909">
            <v>13000</v>
          </cell>
        </row>
        <row r="1910">
          <cell r="A1910">
            <v>44866</v>
          </cell>
          <cell r="B1910" t="str">
            <v>Inayat Fazili</v>
          </cell>
          <cell r="E1910" t="str">
            <v>KA</v>
          </cell>
          <cell r="F1910" t="str">
            <v>AM</v>
          </cell>
          <cell r="H1910">
            <v>70</v>
          </cell>
          <cell r="I1910">
            <v>19000</v>
          </cell>
        </row>
        <row r="1911">
          <cell r="A1911">
            <v>44866</v>
          </cell>
          <cell r="B1911" t="str">
            <v>Mohd Sheikh Salem</v>
          </cell>
          <cell r="E1911" t="str">
            <v>KA</v>
          </cell>
          <cell r="F1911" t="str">
            <v>AM</v>
          </cell>
          <cell r="H1911">
            <v>30</v>
          </cell>
          <cell r="I1911">
            <v>7000</v>
          </cell>
        </row>
        <row r="1912">
          <cell r="A1912">
            <v>44866</v>
          </cell>
          <cell r="B1912" t="str">
            <v>Hamzah Nofal</v>
          </cell>
          <cell r="E1912" t="str">
            <v>FCR</v>
          </cell>
          <cell r="F1912" t="str">
            <v>D</v>
          </cell>
          <cell r="H1912">
            <v>1390</v>
          </cell>
          <cell r="I1912">
            <v>192776</v>
          </cell>
        </row>
        <row r="1913">
          <cell r="A1913">
            <v>44866</v>
          </cell>
          <cell r="B1913" t="str">
            <v>Eslam Hassan</v>
          </cell>
          <cell r="E1913" t="str">
            <v>FCR</v>
          </cell>
          <cell r="F1913" t="str">
            <v>AM</v>
          </cell>
          <cell r="H1913">
            <v>123</v>
          </cell>
          <cell r="I1913">
            <v>12000</v>
          </cell>
        </row>
        <row r="1914">
          <cell r="A1914">
            <v>44866</v>
          </cell>
          <cell r="B1914" t="str">
            <v>Farha Hameed</v>
          </cell>
          <cell r="E1914" t="str">
            <v>FCR</v>
          </cell>
          <cell r="F1914" t="str">
            <v>AM</v>
          </cell>
          <cell r="H1914">
            <v>123</v>
          </cell>
          <cell r="I1914">
            <v>10000</v>
          </cell>
        </row>
        <row r="1915">
          <cell r="A1915">
            <v>44866</v>
          </cell>
          <cell r="B1915" t="str">
            <v>Mohamad Labban</v>
          </cell>
          <cell r="E1915" t="str">
            <v>FCR</v>
          </cell>
          <cell r="F1915" t="str">
            <v>AM</v>
          </cell>
          <cell r="H1915">
            <v>123</v>
          </cell>
          <cell r="I1915">
            <v>20000</v>
          </cell>
        </row>
        <row r="1916">
          <cell r="A1916">
            <v>44866</v>
          </cell>
          <cell r="B1916" t="str">
            <v>Mohamed Mostafa</v>
          </cell>
          <cell r="E1916" t="str">
            <v>FCR</v>
          </cell>
          <cell r="F1916" t="str">
            <v>AM</v>
          </cell>
          <cell r="H1916">
            <v>123</v>
          </cell>
          <cell r="I1916">
            <v>10000</v>
          </cell>
        </row>
        <row r="1917">
          <cell r="A1917">
            <v>44866</v>
          </cell>
          <cell r="B1917" t="str">
            <v>Nadeem Rasheed</v>
          </cell>
          <cell r="E1917" t="str">
            <v>FCR</v>
          </cell>
          <cell r="F1917" t="str">
            <v>AM</v>
          </cell>
          <cell r="H1917">
            <v>83</v>
          </cell>
          <cell r="I1917">
            <v>35000</v>
          </cell>
        </row>
        <row r="1918">
          <cell r="A1918">
            <v>44866</v>
          </cell>
          <cell r="B1918" t="str">
            <v>Othman Hassan</v>
          </cell>
          <cell r="E1918" t="str">
            <v>FCR</v>
          </cell>
          <cell r="F1918" t="str">
            <v>AM</v>
          </cell>
          <cell r="H1918">
            <v>123</v>
          </cell>
          <cell r="I1918">
            <v>11000</v>
          </cell>
        </row>
        <row r="1919">
          <cell r="A1919">
            <v>44866</v>
          </cell>
          <cell r="B1919" t="str">
            <v>Ranjith Chandran</v>
          </cell>
          <cell r="E1919" t="str">
            <v>FCR</v>
          </cell>
          <cell r="F1919" t="str">
            <v>AM</v>
          </cell>
          <cell r="H1919">
            <v>123</v>
          </cell>
          <cell r="I1919">
            <v>10000</v>
          </cell>
        </row>
        <row r="1920">
          <cell r="A1920">
            <v>44866</v>
          </cell>
          <cell r="B1920" t="str">
            <v>Richard Chandy</v>
          </cell>
          <cell r="E1920" t="str">
            <v>FCR</v>
          </cell>
          <cell r="F1920" t="str">
            <v>AM</v>
          </cell>
          <cell r="H1920">
            <v>123</v>
          </cell>
          <cell r="I1920">
            <v>10000</v>
          </cell>
        </row>
        <row r="1921">
          <cell r="A1921">
            <v>44866</v>
          </cell>
          <cell r="B1921" t="str">
            <v>Simon Williams</v>
          </cell>
          <cell r="E1921" t="str">
            <v>FCR</v>
          </cell>
          <cell r="F1921" t="str">
            <v>AM</v>
          </cell>
          <cell r="H1921">
            <v>83</v>
          </cell>
          <cell r="I1921">
            <v>30000</v>
          </cell>
        </row>
        <row r="1922">
          <cell r="A1922">
            <v>44866</v>
          </cell>
          <cell r="B1922" t="str">
            <v>Usman Zafar Sipra</v>
          </cell>
          <cell r="E1922" t="str">
            <v>FCR</v>
          </cell>
          <cell r="F1922" t="str">
            <v>AM</v>
          </cell>
          <cell r="H1922">
            <v>123</v>
          </cell>
          <cell r="I1922">
            <v>10000</v>
          </cell>
        </row>
        <row r="1923">
          <cell r="A1923">
            <v>44866</v>
          </cell>
          <cell r="B1923" t="str">
            <v>Peter Sedrak</v>
          </cell>
          <cell r="E1923" t="str">
            <v>FCR</v>
          </cell>
          <cell r="F1923" t="str">
            <v>AM</v>
          </cell>
          <cell r="H1923">
            <v>25</v>
          </cell>
          <cell r="I1923">
            <v>5000</v>
          </cell>
        </row>
        <row r="1924">
          <cell r="A1924">
            <v>44866</v>
          </cell>
          <cell r="B1924" t="str">
            <v>Mohamed Kishk</v>
          </cell>
          <cell r="E1924" t="str">
            <v>FCR</v>
          </cell>
          <cell r="F1924" t="str">
            <v>AM</v>
          </cell>
          <cell r="H1924">
            <v>55</v>
          </cell>
          <cell r="I1924">
            <v>16000</v>
          </cell>
        </row>
        <row r="1925">
          <cell r="A1925">
            <v>44866</v>
          </cell>
          <cell r="B1925" t="str">
            <v>Muhammad Ismail</v>
          </cell>
          <cell r="E1925" t="str">
            <v>FCR</v>
          </cell>
          <cell r="F1925" t="str">
            <v>AM</v>
          </cell>
          <cell r="H1925">
            <v>130</v>
          </cell>
          <cell r="I1925">
            <v>7776</v>
          </cell>
        </row>
        <row r="1926">
          <cell r="A1926">
            <v>44866</v>
          </cell>
          <cell r="B1926" t="str">
            <v>Muhammad AbdullahTahir</v>
          </cell>
          <cell r="E1926" t="str">
            <v>FCR</v>
          </cell>
          <cell r="F1926" t="str">
            <v>AM</v>
          </cell>
          <cell r="H1926">
            <v>30</v>
          </cell>
          <cell r="I1926">
            <v>6000</v>
          </cell>
        </row>
        <row r="1927">
          <cell r="A1927">
            <v>44866</v>
          </cell>
          <cell r="B1927" t="str">
            <v>Maitha Bin Malek</v>
          </cell>
          <cell r="E1927" t="str">
            <v>HHTT</v>
          </cell>
          <cell r="F1927" t="str">
            <v>D</v>
          </cell>
          <cell r="H1927">
            <v>1095</v>
          </cell>
          <cell r="I1927">
            <v>215416</v>
          </cell>
        </row>
        <row r="1928">
          <cell r="A1928">
            <v>44866</v>
          </cell>
          <cell r="B1928" t="str">
            <v>Atef Kassem</v>
          </cell>
          <cell r="E1928" t="str">
            <v>HHTT</v>
          </cell>
          <cell r="F1928" t="str">
            <v>AM</v>
          </cell>
          <cell r="H1928">
            <v>80</v>
          </cell>
          <cell r="I1928">
            <v>18000</v>
          </cell>
        </row>
        <row r="1929">
          <cell r="A1929">
            <v>44866</v>
          </cell>
          <cell r="B1929" t="str">
            <v>Bashar Al Adilee</v>
          </cell>
          <cell r="E1929" t="str">
            <v>HHTT</v>
          </cell>
          <cell r="F1929" t="str">
            <v>AM</v>
          </cell>
          <cell r="H1929">
            <v>85</v>
          </cell>
          <cell r="I1929">
            <v>24000</v>
          </cell>
        </row>
        <row r="1930">
          <cell r="A1930">
            <v>44866</v>
          </cell>
          <cell r="B1930" t="str">
            <v>Favas Kurinhilayil</v>
          </cell>
          <cell r="E1930" t="str">
            <v>HHTT</v>
          </cell>
          <cell r="F1930" t="str">
            <v>AM</v>
          </cell>
          <cell r="H1930">
            <v>85</v>
          </cell>
          <cell r="I1930">
            <v>28500</v>
          </cell>
        </row>
        <row r="1931">
          <cell r="A1931">
            <v>44866</v>
          </cell>
          <cell r="B1931" t="str">
            <v>Feroz Shaikh</v>
          </cell>
          <cell r="E1931" t="str">
            <v>HHTT</v>
          </cell>
          <cell r="F1931" t="str">
            <v>AM</v>
          </cell>
          <cell r="H1931">
            <v>100</v>
          </cell>
          <cell r="I1931">
            <v>28500</v>
          </cell>
        </row>
        <row r="1932">
          <cell r="A1932">
            <v>44866</v>
          </cell>
          <cell r="B1932" t="str">
            <v>Junaid Warris</v>
          </cell>
          <cell r="E1932" t="str">
            <v>HHTT</v>
          </cell>
          <cell r="F1932" t="str">
            <v>AM</v>
          </cell>
          <cell r="H1932">
            <v>80</v>
          </cell>
          <cell r="I1932">
            <v>12000</v>
          </cell>
        </row>
        <row r="1933">
          <cell r="A1933">
            <v>44866</v>
          </cell>
          <cell r="B1933" t="str">
            <v>Muhammad Nauman Khan</v>
          </cell>
          <cell r="E1933" t="str">
            <v>HHTT</v>
          </cell>
          <cell r="F1933" t="str">
            <v>AM</v>
          </cell>
          <cell r="H1933">
            <v>120</v>
          </cell>
          <cell r="I1933">
            <v>10000</v>
          </cell>
        </row>
        <row r="1934">
          <cell r="A1934">
            <v>44866</v>
          </cell>
          <cell r="B1934" t="str">
            <v>Mushahid Hussain Syed</v>
          </cell>
          <cell r="E1934" t="str">
            <v>HHTT</v>
          </cell>
          <cell r="F1934" t="str">
            <v>AM</v>
          </cell>
          <cell r="H1934">
            <v>80</v>
          </cell>
          <cell r="I1934">
            <v>14000</v>
          </cell>
        </row>
        <row r="1935">
          <cell r="A1935">
            <v>44866</v>
          </cell>
          <cell r="B1935" t="str">
            <v>Osama ElWawi</v>
          </cell>
          <cell r="E1935" t="str">
            <v>HHTT</v>
          </cell>
          <cell r="F1935" t="str">
            <v>AM</v>
          </cell>
          <cell r="H1935">
            <v>150</v>
          </cell>
          <cell r="I1935">
            <v>15000</v>
          </cell>
        </row>
        <row r="1936">
          <cell r="A1936">
            <v>44866</v>
          </cell>
          <cell r="B1936" t="str">
            <v>Ramez Al Alami</v>
          </cell>
          <cell r="E1936" t="str">
            <v>HHTT</v>
          </cell>
          <cell r="F1936" t="str">
            <v>AM</v>
          </cell>
          <cell r="H1936">
            <v>100</v>
          </cell>
          <cell r="I1936">
            <v>18416</v>
          </cell>
        </row>
        <row r="1937">
          <cell r="A1937">
            <v>44866</v>
          </cell>
          <cell r="B1937" t="str">
            <v>Ramy Abdel Fattah</v>
          </cell>
          <cell r="E1937" t="str">
            <v>HHTT</v>
          </cell>
          <cell r="F1937" t="str">
            <v>AM</v>
          </cell>
          <cell r="H1937">
            <v>85</v>
          </cell>
          <cell r="I1937">
            <v>17000</v>
          </cell>
        </row>
        <row r="1938">
          <cell r="A1938">
            <v>44866</v>
          </cell>
          <cell r="B1938" t="str">
            <v>Wasim Raja</v>
          </cell>
          <cell r="E1938" t="str">
            <v>HHTT</v>
          </cell>
          <cell r="F1938" t="str">
            <v>AM</v>
          </cell>
          <cell r="H1938">
            <v>85</v>
          </cell>
          <cell r="I1938">
            <v>20000</v>
          </cell>
        </row>
        <row r="1939">
          <cell r="A1939">
            <v>44866</v>
          </cell>
          <cell r="B1939" t="str">
            <v>Ubaid Ahanger</v>
          </cell>
          <cell r="E1939" t="str">
            <v>HHTT</v>
          </cell>
          <cell r="F1939" t="str">
            <v>AM</v>
          </cell>
          <cell r="H1939">
            <v>45</v>
          </cell>
          <cell r="I1939">
            <v>10000</v>
          </cell>
        </row>
        <row r="1940">
          <cell r="A1940">
            <v>44866</v>
          </cell>
          <cell r="B1940" t="str">
            <v>Imran Malik</v>
          </cell>
          <cell r="E1940" t="str">
            <v>RCOGM</v>
          </cell>
          <cell r="F1940" t="str">
            <v>D</v>
          </cell>
          <cell r="H1940">
            <v>1724</v>
          </cell>
          <cell r="I1940">
            <v>153497</v>
          </cell>
        </row>
        <row r="1941">
          <cell r="A1941">
            <v>44866</v>
          </cell>
          <cell r="B1941" t="str">
            <v>AlMas Zaheer</v>
          </cell>
          <cell r="E1941" t="str">
            <v>RCOGM</v>
          </cell>
          <cell r="F1941" t="str">
            <v>AM</v>
          </cell>
          <cell r="H1941">
            <v>80</v>
          </cell>
          <cell r="I1941">
            <v>9000</v>
          </cell>
        </row>
        <row r="1942">
          <cell r="A1942">
            <v>44866</v>
          </cell>
          <cell r="B1942" t="str">
            <v>Shiraz Niazi</v>
          </cell>
          <cell r="E1942" t="str">
            <v>RCOGM</v>
          </cell>
          <cell r="F1942" t="str">
            <v>AM</v>
          </cell>
          <cell r="H1942">
            <v>80</v>
          </cell>
          <cell r="I1942">
            <v>9000</v>
          </cell>
        </row>
        <row r="1943">
          <cell r="A1943">
            <v>44866</v>
          </cell>
          <cell r="B1943" t="str">
            <v>Adnan Bashir</v>
          </cell>
          <cell r="E1943" t="str">
            <v>RCOGM</v>
          </cell>
          <cell r="F1943" t="str">
            <v>AM</v>
          </cell>
          <cell r="H1943">
            <v>80</v>
          </cell>
          <cell r="I1943">
            <v>9000</v>
          </cell>
        </row>
        <row r="1944">
          <cell r="A1944">
            <v>44866</v>
          </cell>
          <cell r="B1944" t="str">
            <v>Aijaz Darzi</v>
          </cell>
          <cell r="E1944" t="str">
            <v>RCOGM</v>
          </cell>
          <cell r="F1944" t="str">
            <v>AM</v>
          </cell>
          <cell r="H1944">
            <v>80</v>
          </cell>
          <cell r="I1944">
            <v>9000</v>
          </cell>
        </row>
        <row r="1945">
          <cell r="A1945">
            <v>44866</v>
          </cell>
          <cell r="B1945" t="str">
            <v>Ali Alzarooni</v>
          </cell>
          <cell r="E1945" t="str">
            <v>RCOGM</v>
          </cell>
          <cell r="F1945" t="str">
            <v>AM</v>
          </cell>
          <cell r="H1945">
            <v>80</v>
          </cell>
          <cell r="I1945">
            <v>9000</v>
          </cell>
        </row>
        <row r="1946">
          <cell r="A1946">
            <v>44866</v>
          </cell>
          <cell r="B1946" t="str">
            <v>Ali Shahin</v>
          </cell>
          <cell r="E1946" t="str">
            <v>RCOGM</v>
          </cell>
          <cell r="F1946" t="str">
            <v>AM</v>
          </cell>
          <cell r="H1946">
            <v>160</v>
          </cell>
          <cell r="I1946">
            <v>15000</v>
          </cell>
        </row>
        <row r="1947">
          <cell r="A1947">
            <v>44866</v>
          </cell>
          <cell r="B1947" t="str">
            <v>Ammar Aladily</v>
          </cell>
          <cell r="E1947" t="str">
            <v>RCOGM</v>
          </cell>
          <cell r="F1947" t="str">
            <v>AM</v>
          </cell>
          <cell r="H1947">
            <v>494</v>
          </cell>
          <cell r="I1947">
            <v>38000</v>
          </cell>
        </row>
        <row r="1948">
          <cell r="A1948">
            <v>44866</v>
          </cell>
          <cell r="B1948" t="str">
            <v>Ayaz Zargar</v>
          </cell>
          <cell r="E1948" t="str">
            <v>RCOGM</v>
          </cell>
          <cell r="F1948" t="str">
            <v>AM</v>
          </cell>
          <cell r="H1948">
            <v>80</v>
          </cell>
          <cell r="I1948">
            <v>12497</v>
          </cell>
        </row>
        <row r="1949">
          <cell r="A1949">
            <v>44866</v>
          </cell>
          <cell r="B1949" t="str">
            <v>Danish Shabir</v>
          </cell>
          <cell r="E1949" t="str">
            <v>RCOGM</v>
          </cell>
          <cell r="F1949" t="str">
            <v>AM</v>
          </cell>
          <cell r="H1949">
            <v>270</v>
          </cell>
          <cell r="I1949">
            <v>9000</v>
          </cell>
        </row>
        <row r="1950">
          <cell r="A1950">
            <v>44866</v>
          </cell>
          <cell r="B1950" t="str">
            <v>Sana Shaikh</v>
          </cell>
          <cell r="E1950" t="str">
            <v>RCOGM</v>
          </cell>
          <cell r="F1950" t="str">
            <v>AM</v>
          </cell>
          <cell r="H1950">
            <v>80</v>
          </cell>
          <cell r="I1950">
            <v>9000</v>
          </cell>
        </row>
        <row r="1951">
          <cell r="A1951">
            <v>44866</v>
          </cell>
          <cell r="B1951" t="str">
            <v>Shabbir Lacewala</v>
          </cell>
          <cell r="E1951" t="str">
            <v>RCOGM</v>
          </cell>
          <cell r="F1951" t="str">
            <v>AM</v>
          </cell>
          <cell r="H1951">
            <v>160</v>
          </cell>
          <cell r="I1951">
            <v>16000</v>
          </cell>
        </row>
        <row r="1952">
          <cell r="A1952">
            <v>44866</v>
          </cell>
          <cell r="B1952" t="str">
            <v>Shadab Sheikh</v>
          </cell>
          <cell r="E1952" t="str">
            <v>RCOGM</v>
          </cell>
          <cell r="F1952" t="str">
            <v>AM</v>
          </cell>
          <cell r="H1952">
            <v>80</v>
          </cell>
          <cell r="I1952">
            <v>9000</v>
          </cell>
        </row>
        <row r="1953">
          <cell r="A1953">
            <v>44866</v>
          </cell>
          <cell r="B1953" t="str">
            <v>Hany Jawee</v>
          </cell>
          <cell r="E1953" t="str">
            <v>TME</v>
          </cell>
          <cell r="F1953" t="str">
            <v>D</v>
          </cell>
          <cell r="H1953">
            <v>1476</v>
          </cell>
          <cell r="I1953">
            <v>188311</v>
          </cell>
        </row>
        <row r="1954">
          <cell r="A1954">
            <v>44866</v>
          </cell>
          <cell r="B1954" t="str">
            <v>Ahmad Ozdamir</v>
          </cell>
          <cell r="E1954" t="str">
            <v>TME</v>
          </cell>
          <cell r="F1954" t="str">
            <v>AM</v>
          </cell>
          <cell r="H1954">
            <v>100</v>
          </cell>
          <cell r="I1954">
            <v>5500</v>
          </cell>
        </row>
        <row r="1955">
          <cell r="A1955">
            <v>44866</v>
          </cell>
          <cell r="B1955" t="str">
            <v>Ahmed AlShehhi</v>
          </cell>
          <cell r="E1955" t="str">
            <v>TME</v>
          </cell>
          <cell r="F1955" t="str">
            <v>AM</v>
          </cell>
          <cell r="H1955">
            <v>80</v>
          </cell>
          <cell r="I1955">
            <v>5000</v>
          </cell>
        </row>
        <row r="1956">
          <cell r="A1956">
            <v>44866</v>
          </cell>
          <cell r="B1956" t="str">
            <v>Amjad Ilwan</v>
          </cell>
          <cell r="E1956" t="str">
            <v>TME</v>
          </cell>
          <cell r="F1956" t="str">
            <v>AM</v>
          </cell>
          <cell r="H1956">
            <v>125</v>
          </cell>
          <cell r="I1956">
            <v>7000</v>
          </cell>
        </row>
        <row r="1957">
          <cell r="A1957">
            <v>44866</v>
          </cell>
          <cell r="B1957" t="str">
            <v>Anastasia Maltseva</v>
          </cell>
          <cell r="E1957" t="str">
            <v>TME</v>
          </cell>
          <cell r="F1957" t="str">
            <v>AM</v>
          </cell>
          <cell r="H1957">
            <v>80</v>
          </cell>
          <cell r="I1957">
            <v>7000</v>
          </cell>
        </row>
        <row r="1958">
          <cell r="A1958">
            <v>44866</v>
          </cell>
          <cell r="B1958" t="str">
            <v>Buhari Buhari</v>
          </cell>
          <cell r="E1958" t="str">
            <v>TME</v>
          </cell>
          <cell r="F1958" t="str">
            <v>AM</v>
          </cell>
          <cell r="H1958">
            <v>100</v>
          </cell>
          <cell r="I1958">
            <v>6500</v>
          </cell>
        </row>
        <row r="1959">
          <cell r="A1959">
            <v>44866</v>
          </cell>
          <cell r="B1959" t="str">
            <v>Ehab Hajou</v>
          </cell>
          <cell r="E1959" t="str">
            <v>TME</v>
          </cell>
          <cell r="F1959" t="str">
            <v>AM</v>
          </cell>
          <cell r="H1959">
            <v>110</v>
          </cell>
          <cell r="I1959">
            <v>11000</v>
          </cell>
        </row>
        <row r="1960">
          <cell r="A1960">
            <v>44866</v>
          </cell>
          <cell r="B1960" t="str">
            <v>Fadi Saleh</v>
          </cell>
          <cell r="E1960" t="str">
            <v>TME</v>
          </cell>
          <cell r="F1960" t="str">
            <v>AM</v>
          </cell>
          <cell r="H1960">
            <v>100</v>
          </cell>
          <cell r="I1960">
            <v>71811</v>
          </cell>
        </row>
        <row r="1961">
          <cell r="A1961">
            <v>44866</v>
          </cell>
          <cell r="B1961" t="str">
            <v>Jeevantha Ranasinghe</v>
          </cell>
          <cell r="E1961" t="str">
            <v>TME</v>
          </cell>
          <cell r="F1961" t="str">
            <v>AM</v>
          </cell>
          <cell r="H1961">
            <v>115</v>
          </cell>
          <cell r="I1961">
            <v>5500</v>
          </cell>
        </row>
        <row r="1962">
          <cell r="A1962">
            <v>44866</v>
          </cell>
          <cell r="B1962" t="str">
            <v>Khalid Mohammed</v>
          </cell>
          <cell r="E1962" t="str">
            <v>TME</v>
          </cell>
          <cell r="F1962" t="str">
            <v>AM</v>
          </cell>
          <cell r="H1962">
            <v>130</v>
          </cell>
          <cell r="I1962">
            <v>15000</v>
          </cell>
        </row>
        <row r="1963">
          <cell r="A1963">
            <v>44866</v>
          </cell>
          <cell r="B1963" t="str">
            <v>Sara Alblooshi</v>
          </cell>
          <cell r="E1963" t="str">
            <v>TME</v>
          </cell>
          <cell r="F1963" t="str">
            <v>AM</v>
          </cell>
          <cell r="H1963">
            <v>75</v>
          </cell>
          <cell r="I1963">
            <v>3500</v>
          </cell>
        </row>
        <row r="1964">
          <cell r="A1964">
            <v>44866</v>
          </cell>
          <cell r="B1964" t="str">
            <v>Suleiman Wanni</v>
          </cell>
          <cell r="E1964" t="str">
            <v>TME</v>
          </cell>
          <cell r="F1964" t="str">
            <v>AM</v>
          </cell>
          <cell r="H1964">
            <v>140</v>
          </cell>
          <cell r="I1964">
            <v>18000</v>
          </cell>
        </row>
        <row r="1965">
          <cell r="A1965">
            <v>44866</v>
          </cell>
          <cell r="B1965" t="str">
            <v>Waseem Suhaf</v>
          </cell>
          <cell r="E1965" t="str">
            <v>TME</v>
          </cell>
          <cell r="F1965" t="str">
            <v>AM</v>
          </cell>
          <cell r="H1965">
            <v>120</v>
          </cell>
          <cell r="I1965">
            <v>8000</v>
          </cell>
        </row>
        <row r="1966">
          <cell r="A1966">
            <v>44866</v>
          </cell>
          <cell r="B1966" t="str">
            <v>Iqbal Hussain</v>
          </cell>
          <cell r="E1966" t="str">
            <v>TME</v>
          </cell>
          <cell r="F1966" t="str">
            <v>AM</v>
          </cell>
          <cell r="H1966">
            <v>66</v>
          </cell>
          <cell r="I1966">
            <v>4500</v>
          </cell>
        </row>
        <row r="1967">
          <cell r="A1967">
            <v>44866</v>
          </cell>
          <cell r="B1967" t="str">
            <v>Rijith Menon</v>
          </cell>
          <cell r="E1967" t="str">
            <v>TME</v>
          </cell>
          <cell r="F1967" t="str">
            <v>AM</v>
          </cell>
          <cell r="H1967">
            <v>135</v>
          </cell>
          <cell r="I1967">
            <v>20000</v>
          </cell>
        </row>
        <row r="1968">
          <cell r="A1968">
            <v>44896</v>
          </cell>
          <cell r="B1968" t="str">
            <v>Hamzah Nofal</v>
          </cell>
          <cell r="E1968" t="str">
            <v>FCR</v>
          </cell>
          <cell r="F1968" t="str">
            <v>D</v>
          </cell>
          <cell r="H1968">
            <v>1510</v>
          </cell>
          <cell r="I1968">
            <v>162000</v>
          </cell>
        </row>
        <row r="1969">
          <cell r="A1969">
            <v>44896</v>
          </cell>
          <cell r="B1969" t="str">
            <v>Eslam Hassan</v>
          </cell>
          <cell r="E1969" t="str">
            <v>FCR</v>
          </cell>
          <cell r="F1969" t="str">
            <v>AM</v>
          </cell>
          <cell r="H1969">
            <v>120</v>
          </cell>
          <cell r="I1969">
            <v>10000</v>
          </cell>
        </row>
        <row r="1970">
          <cell r="A1970">
            <v>44896</v>
          </cell>
          <cell r="B1970" t="str">
            <v>Farha Hameed</v>
          </cell>
          <cell r="E1970" t="str">
            <v>FCR</v>
          </cell>
          <cell r="F1970" t="str">
            <v>AM</v>
          </cell>
          <cell r="H1970">
            <v>120</v>
          </cell>
          <cell r="I1970">
            <v>12000</v>
          </cell>
        </row>
        <row r="1971">
          <cell r="A1971">
            <v>44896</v>
          </cell>
          <cell r="B1971" t="str">
            <v>Mohamad Labban</v>
          </cell>
          <cell r="E1971" t="str">
            <v>FCR</v>
          </cell>
          <cell r="F1971" t="str">
            <v>AM</v>
          </cell>
          <cell r="H1971">
            <v>120</v>
          </cell>
          <cell r="I1971">
            <v>12000</v>
          </cell>
        </row>
        <row r="1972">
          <cell r="A1972">
            <v>44896</v>
          </cell>
          <cell r="B1972" t="str">
            <v>Mohamed Mostafa</v>
          </cell>
          <cell r="E1972" t="str">
            <v>FCR</v>
          </cell>
          <cell r="F1972" t="str">
            <v>AM</v>
          </cell>
          <cell r="H1972">
            <v>120</v>
          </cell>
          <cell r="I1972">
            <v>12000</v>
          </cell>
        </row>
        <row r="1973">
          <cell r="A1973">
            <v>44896</v>
          </cell>
          <cell r="B1973" t="str">
            <v>Nadeem Rasheed</v>
          </cell>
          <cell r="E1973" t="str">
            <v>FCR</v>
          </cell>
          <cell r="F1973" t="str">
            <v>AM</v>
          </cell>
          <cell r="H1973">
            <v>90</v>
          </cell>
          <cell r="I1973">
            <v>20000</v>
          </cell>
        </row>
        <row r="1974">
          <cell r="A1974">
            <v>44896</v>
          </cell>
          <cell r="B1974" t="str">
            <v>Othman Hassan</v>
          </cell>
          <cell r="E1974" t="str">
            <v>FCR</v>
          </cell>
          <cell r="F1974" t="str">
            <v>AM</v>
          </cell>
          <cell r="H1974">
            <v>120</v>
          </cell>
          <cell r="I1974">
            <v>12000</v>
          </cell>
        </row>
        <row r="1975">
          <cell r="A1975">
            <v>44896</v>
          </cell>
          <cell r="B1975" t="str">
            <v>Ranjith Chandran</v>
          </cell>
          <cell r="E1975" t="str">
            <v>FCR</v>
          </cell>
          <cell r="F1975" t="str">
            <v>AM</v>
          </cell>
          <cell r="H1975">
            <v>120</v>
          </cell>
          <cell r="I1975">
            <v>12000</v>
          </cell>
        </row>
        <row r="1976">
          <cell r="A1976">
            <v>44896</v>
          </cell>
          <cell r="B1976" t="str">
            <v>Richard Chandy</v>
          </cell>
          <cell r="E1976" t="str">
            <v>FCR</v>
          </cell>
          <cell r="F1976" t="str">
            <v>AM</v>
          </cell>
          <cell r="H1976">
            <v>90</v>
          </cell>
          <cell r="I1976">
            <v>10000</v>
          </cell>
        </row>
        <row r="1977">
          <cell r="A1977">
            <v>44896</v>
          </cell>
          <cell r="B1977" t="str">
            <v>Simon Williams</v>
          </cell>
          <cell r="E1977" t="str">
            <v>FCR</v>
          </cell>
          <cell r="F1977" t="str">
            <v>AM</v>
          </cell>
          <cell r="H1977">
            <v>90</v>
          </cell>
          <cell r="I1977">
            <v>15000</v>
          </cell>
        </row>
        <row r="1978">
          <cell r="A1978">
            <v>44896</v>
          </cell>
          <cell r="B1978" t="str">
            <v>Usman Zafar Sipra</v>
          </cell>
          <cell r="E1978" t="str">
            <v>FCR</v>
          </cell>
          <cell r="F1978" t="str">
            <v>AM</v>
          </cell>
          <cell r="H1978">
            <v>110</v>
          </cell>
          <cell r="I1978">
            <v>12000</v>
          </cell>
        </row>
        <row r="1979">
          <cell r="A1979">
            <v>44896</v>
          </cell>
          <cell r="B1979" t="str">
            <v>Peter Sedrak</v>
          </cell>
          <cell r="E1979" t="str">
            <v>FCR</v>
          </cell>
          <cell r="F1979" t="str">
            <v>AM</v>
          </cell>
          <cell r="H1979">
            <v>85</v>
          </cell>
          <cell r="I1979">
            <v>6500</v>
          </cell>
        </row>
        <row r="1980">
          <cell r="A1980">
            <v>44896</v>
          </cell>
          <cell r="B1980" t="str">
            <v>Mohamed Kishk</v>
          </cell>
          <cell r="E1980" t="str">
            <v>FCR</v>
          </cell>
          <cell r="F1980" t="str">
            <v>AM</v>
          </cell>
          <cell r="H1980">
            <v>120</v>
          </cell>
          <cell r="I1980">
            <v>10000</v>
          </cell>
        </row>
        <row r="1981">
          <cell r="A1981">
            <v>44896</v>
          </cell>
          <cell r="B1981" t="str">
            <v>Muhammad Ismail</v>
          </cell>
          <cell r="E1981" t="str">
            <v>FCR</v>
          </cell>
          <cell r="F1981" t="str">
            <v>AM</v>
          </cell>
          <cell r="H1981">
            <v>120</v>
          </cell>
          <cell r="I1981">
            <v>12000</v>
          </cell>
        </row>
        <row r="1982">
          <cell r="A1982">
            <v>44896</v>
          </cell>
          <cell r="B1982" t="str">
            <v>Muhammad AbdullahTahir</v>
          </cell>
          <cell r="E1982" t="str">
            <v>FCR</v>
          </cell>
          <cell r="F1982" t="str">
            <v>AM</v>
          </cell>
          <cell r="H1982">
            <v>85</v>
          </cell>
          <cell r="I1982">
            <v>6500</v>
          </cell>
        </row>
        <row r="1983">
          <cell r="A1983">
            <v>44896</v>
          </cell>
          <cell r="B1983" t="str">
            <v>Maitha Bin Malek</v>
          </cell>
          <cell r="E1983" t="str">
            <v>HHTT</v>
          </cell>
          <cell r="F1983" t="str">
            <v>D</v>
          </cell>
          <cell r="H1983">
            <v>1110.8476010238765</v>
          </cell>
          <cell r="I1983">
            <v>180949.44</v>
          </cell>
        </row>
        <row r="1984">
          <cell r="A1984">
            <v>44896</v>
          </cell>
          <cell r="B1984" t="str">
            <v>Atef Kassem</v>
          </cell>
          <cell r="E1984" t="str">
            <v>HHTT</v>
          </cell>
          <cell r="F1984" t="str">
            <v>AM</v>
          </cell>
          <cell r="H1984">
            <v>87</v>
          </cell>
          <cell r="I1984">
            <v>12500</v>
          </cell>
        </row>
        <row r="1985">
          <cell r="A1985">
            <v>44896</v>
          </cell>
          <cell r="B1985" t="str">
            <v>Bashar Al Adilee</v>
          </cell>
          <cell r="E1985" t="str">
            <v>HHTT</v>
          </cell>
          <cell r="F1985" t="str">
            <v>AM</v>
          </cell>
          <cell r="H1985">
            <v>68</v>
          </cell>
          <cell r="I1985">
            <v>29500</v>
          </cell>
        </row>
        <row r="1986">
          <cell r="A1986">
            <v>44896</v>
          </cell>
          <cell r="B1986" t="str">
            <v>Favas Kurinhilayil</v>
          </cell>
          <cell r="E1986" t="str">
            <v>HHTT</v>
          </cell>
          <cell r="F1986" t="str">
            <v>AM</v>
          </cell>
          <cell r="H1986">
            <v>87</v>
          </cell>
          <cell r="I1986">
            <v>15300</v>
          </cell>
        </row>
        <row r="1987">
          <cell r="A1987">
            <v>44896</v>
          </cell>
          <cell r="B1987" t="str">
            <v>Feroz Shaikh</v>
          </cell>
          <cell r="E1987" t="str">
            <v>HHTT</v>
          </cell>
          <cell r="F1987" t="str">
            <v>AM</v>
          </cell>
          <cell r="H1987">
            <v>74</v>
          </cell>
          <cell r="I1987">
            <v>18000</v>
          </cell>
        </row>
        <row r="1988">
          <cell r="A1988">
            <v>44896</v>
          </cell>
          <cell r="B1988" t="str">
            <v>Junaid Warris</v>
          </cell>
          <cell r="E1988" t="str">
            <v>HHTT</v>
          </cell>
          <cell r="F1988" t="str">
            <v>AM</v>
          </cell>
          <cell r="H1988">
            <v>115</v>
          </cell>
          <cell r="I1988">
            <v>11500</v>
          </cell>
        </row>
        <row r="1989">
          <cell r="A1989">
            <v>44896</v>
          </cell>
          <cell r="B1989" t="str">
            <v>Muhammad Nauman Khan</v>
          </cell>
          <cell r="E1989" t="str">
            <v>HHTT</v>
          </cell>
          <cell r="F1989" t="str">
            <v>AM</v>
          </cell>
          <cell r="H1989">
            <v>140</v>
          </cell>
          <cell r="I1989">
            <v>12300</v>
          </cell>
        </row>
        <row r="1990">
          <cell r="A1990">
            <v>44896</v>
          </cell>
          <cell r="B1990" t="str">
            <v>Mushahid Hussain Syed</v>
          </cell>
          <cell r="E1990" t="str">
            <v>HHTT</v>
          </cell>
          <cell r="F1990" t="str">
            <v>AM</v>
          </cell>
          <cell r="H1990">
            <v>95</v>
          </cell>
          <cell r="I1990">
            <v>10000</v>
          </cell>
        </row>
        <row r="1991">
          <cell r="A1991">
            <v>44896</v>
          </cell>
          <cell r="B1991" t="str">
            <v>Osama ElWawi</v>
          </cell>
          <cell r="E1991" t="str">
            <v>HHTT</v>
          </cell>
          <cell r="F1991" t="str">
            <v>AM</v>
          </cell>
          <cell r="H1991">
            <v>138</v>
          </cell>
          <cell r="I1991">
            <v>11000</v>
          </cell>
        </row>
        <row r="1992">
          <cell r="A1992">
            <v>44896</v>
          </cell>
          <cell r="B1992" t="str">
            <v>Ramez Al Alami</v>
          </cell>
          <cell r="E1992" t="str">
            <v>HHTT</v>
          </cell>
          <cell r="F1992" t="str">
            <v>AM</v>
          </cell>
          <cell r="H1992">
            <v>82</v>
          </cell>
          <cell r="I1992">
            <v>17000</v>
          </cell>
        </row>
        <row r="1993">
          <cell r="A1993">
            <v>44896</v>
          </cell>
          <cell r="B1993" t="str">
            <v>Ramy Abdel Fattah</v>
          </cell>
          <cell r="E1993" t="str">
            <v>HHTT</v>
          </cell>
          <cell r="F1993" t="str">
            <v>AM</v>
          </cell>
          <cell r="H1993">
            <v>75</v>
          </cell>
          <cell r="I1993">
            <v>17349</v>
          </cell>
        </row>
        <row r="1994">
          <cell r="A1994">
            <v>44896</v>
          </cell>
          <cell r="B1994" t="str">
            <v>Wasim Raja</v>
          </cell>
          <cell r="E1994" t="str">
            <v>HHTT</v>
          </cell>
          <cell r="F1994" t="str">
            <v>AM</v>
          </cell>
          <cell r="H1994">
            <v>85</v>
          </cell>
          <cell r="I1994">
            <v>15500</v>
          </cell>
        </row>
        <row r="1995">
          <cell r="A1995">
            <v>44896</v>
          </cell>
          <cell r="B1995" t="str">
            <v>Ubaid Ahanger</v>
          </cell>
          <cell r="E1995" t="str">
            <v>HHTT</v>
          </cell>
          <cell r="F1995" t="str">
            <v>AM</v>
          </cell>
          <cell r="H1995">
            <v>65</v>
          </cell>
          <cell r="I1995">
            <v>11000</v>
          </cell>
        </row>
        <row r="1996">
          <cell r="A1996">
            <v>44896</v>
          </cell>
          <cell r="B1996" t="str">
            <v>Imran Malik</v>
          </cell>
          <cell r="E1996" t="str">
            <v>RCOGM</v>
          </cell>
          <cell r="F1996" t="str">
            <v>D</v>
          </cell>
          <cell r="H1996">
            <v>1548</v>
          </cell>
          <cell r="I1996">
            <v>128937</v>
          </cell>
        </row>
        <row r="1997">
          <cell r="A1997">
            <v>44896</v>
          </cell>
          <cell r="B1997" t="str">
            <v>AlMas Zaheer</v>
          </cell>
          <cell r="E1997" t="str">
            <v>RCOGM</v>
          </cell>
          <cell r="F1997" t="str">
            <v>AM</v>
          </cell>
          <cell r="H1997">
            <v>95</v>
          </cell>
          <cell r="I1997">
            <v>9500</v>
          </cell>
        </row>
        <row r="1998">
          <cell r="A1998">
            <v>44896</v>
          </cell>
          <cell r="B1998" t="str">
            <v>Shiraz Niazi</v>
          </cell>
          <cell r="E1998" t="str">
            <v>RCOGM</v>
          </cell>
          <cell r="F1998" t="str">
            <v>AM</v>
          </cell>
          <cell r="H1998">
            <v>95</v>
          </cell>
          <cell r="I1998">
            <v>9500</v>
          </cell>
        </row>
        <row r="1999">
          <cell r="A1999">
            <v>44896</v>
          </cell>
          <cell r="B1999" t="str">
            <v>Adnan Bashir</v>
          </cell>
          <cell r="E1999" t="str">
            <v>RCOGM</v>
          </cell>
          <cell r="F1999" t="str">
            <v>AM</v>
          </cell>
          <cell r="H1999">
            <v>168</v>
          </cell>
          <cell r="I1999">
            <v>9537</v>
          </cell>
        </row>
        <row r="2000">
          <cell r="A2000">
            <v>44896</v>
          </cell>
          <cell r="B2000" t="str">
            <v>Aijaz Darzi</v>
          </cell>
          <cell r="E2000" t="str">
            <v>RCOGM</v>
          </cell>
          <cell r="F2000" t="str">
            <v>AM</v>
          </cell>
          <cell r="H2000">
            <v>95</v>
          </cell>
          <cell r="I2000">
            <v>9500</v>
          </cell>
        </row>
        <row r="2001">
          <cell r="A2001">
            <v>44896</v>
          </cell>
          <cell r="B2001" t="str">
            <v>Ali Alzarooni</v>
          </cell>
          <cell r="E2001" t="str">
            <v>RCOGM</v>
          </cell>
          <cell r="F2001" t="str">
            <v>AM</v>
          </cell>
          <cell r="H2001">
            <v>95</v>
          </cell>
          <cell r="I2001">
            <v>9500</v>
          </cell>
        </row>
        <row r="2002">
          <cell r="A2002">
            <v>44896</v>
          </cell>
          <cell r="B2002" t="str">
            <v>Ali Shahin</v>
          </cell>
          <cell r="E2002" t="str">
            <v>RCOGM</v>
          </cell>
          <cell r="F2002" t="str">
            <v>AM</v>
          </cell>
          <cell r="H2002">
            <v>110</v>
          </cell>
          <cell r="I2002">
            <v>11000</v>
          </cell>
        </row>
        <row r="2003">
          <cell r="A2003">
            <v>44896</v>
          </cell>
          <cell r="B2003" t="str">
            <v>Ammar Aladily</v>
          </cell>
          <cell r="E2003" t="str">
            <v>RCOGM</v>
          </cell>
          <cell r="F2003" t="str">
            <v>AM</v>
          </cell>
          <cell r="H2003">
            <v>440</v>
          </cell>
          <cell r="I2003">
            <v>25700</v>
          </cell>
        </row>
        <row r="2004">
          <cell r="A2004">
            <v>44896</v>
          </cell>
          <cell r="B2004" t="str">
            <v>Ayaz Zargar</v>
          </cell>
          <cell r="E2004" t="str">
            <v>RCOGM</v>
          </cell>
          <cell r="F2004" t="str">
            <v>AM</v>
          </cell>
          <cell r="H2004">
            <v>95</v>
          </cell>
          <cell r="I2004">
            <v>9000</v>
          </cell>
        </row>
        <row r="2005">
          <cell r="A2005">
            <v>44896</v>
          </cell>
          <cell r="B2005" t="str">
            <v>Danish Shabir</v>
          </cell>
          <cell r="E2005" t="str">
            <v>RCOGM</v>
          </cell>
          <cell r="F2005" t="str">
            <v>AM</v>
          </cell>
          <cell r="H2005">
            <v>110</v>
          </cell>
          <cell r="I2005">
            <v>9000</v>
          </cell>
        </row>
        <row r="2006">
          <cell r="A2006">
            <v>44896</v>
          </cell>
          <cell r="B2006" t="str">
            <v>Sana Shaikh</v>
          </cell>
          <cell r="E2006" t="str">
            <v>RCOGM</v>
          </cell>
          <cell r="F2006" t="str">
            <v>AM</v>
          </cell>
          <cell r="H2006">
            <v>40</v>
          </cell>
          <cell r="I2006">
            <v>6200</v>
          </cell>
        </row>
        <row r="2007">
          <cell r="A2007">
            <v>44896</v>
          </cell>
          <cell r="B2007" t="str">
            <v>Shabbir Lacewala</v>
          </cell>
          <cell r="E2007" t="str">
            <v>RCOGM</v>
          </cell>
          <cell r="F2007" t="str">
            <v>AM</v>
          </cell>
          <cell r="H2007">
            <v>110</v>
          </cell>
          <cell r="I2007">
            <v>11000</v>
          </cell>
        </row>
        <row r="2008">
          <cell r="A2008">
            <v>44896</v>
          </cell>
          <cell r="B2008" t="str">
            <v>Shadab Sheikh</v>
          </cell>
          <cell r="E2008" t="str">
            <v>RCOGM</v>
          </cell>
          <cell r="F2008" t="str">
            <v>AM</v>
          </cell>
          <cell r="H2008">
            <v>95</v>
          </cell>
          <cell r="I2008">
            <v>9500</v>
          </cell>
        </row>
        <row r="2009">
          <cell r="A2009">
            <v>44896</v>
          </cell>
          <cell r="B2009" t="str">
            <v>Hany Jawee</v>
          </cell>
          <cell r="E2009" t="str">
            <v>TME</v>
          </cell>
          <cell r="F2009" t="str">
            <v>D</v>
          </cell>
          <cell r="H2009">
            <v>1600</v>
          </cell>
          <cell r="I2009">
            <v>158181.24</v>
          </cell>
        </row>
        <row r="2010">
          <cell r="A2010">
            <v>44896</v>
          </cell>
          <cell r="B2010" t="str">
            <v>Ahmad Ozdamir</v>
          </cell>
          <cell r="E2010" t="str">
            <v>TME</v>
          </cell>
          <cell r="F2010" t="str">
            <v>AM</v>
          </cell>
          <cell r="H2010">
            <v>115</v>
          </cell>
          <cell r="I2010">
            <v>7000</v>
          </cell>
        </row>
        <row r="2011">
          <cell r="A2011">
            <v>44896</v>
          </cell>
          <cell r="B2011" t="str">
            <v>Ahmed AlShehhi</v>
          </cell>
          <cell r="E2011" t="str">
            <v>TME</v>
          </cell>
          <cell r="F2011" t="str">
            <v>AM</v>
          </cell>
          <cell r="H2011">
            <v>80</v>
          </cell>
          <cell r="I2011">
            <v>7000</v>
          </cell>
        </row>
        <row r="2012">
          <cell r="A2012">
            <v>44896</v>
          </cell>
          <cell r="B2012" t="str">
            <v>Amjad Ilwan</v>
          </cell>
          <cell r="E2012" t="str">
            <v>TME</v>
          </cell>
          <cell r="F2012" t="str">
            <v>AM</v>
          </cell>
          <cell r="H2012">
            <v>135</v>
          </cell>
          <cell r="I2012">
            <v>12000</v>
          </cell>
        </row>
        <row r="2013">
          <cell r="A2013">
            <v>44896</v>
          </cell>
          <cell r="B2013" t="str">
            <v>Anastasia Maltseva</v>
          </cell>
          <cell r="E2013" t="str">
            <v>TME</v>
          </cell>
          <cell r="F2013" t="str">
            <v>AM</v>
          </cell>
          <cell r="H2013">
            <v>90</v>
          </cell>
          <cell r="I2013">
            <v>9000</v>
          </cell>
        </row>
        <row r="2014">
          <cell r="A2014">
            <v>44896</v>
          </cell>
          <cell r="B2014" t="str">
            <v>Buhari Buhari</v>
          </cell>
          <cell r="E2014" t="str">
            <v>TME</v>
          </cell>
          <cell r="F2014" t="str">
            <v>AM</v>
          </cell>
          <cell r="H2014">
            <v>120</v>
          </cell>
          <cell r="I2014">
            <v>6000</v>
          </cell>
        </row>
        <row r="2015">
          <cell r="A2015">
            <v>44896</v>
          </cell>
          <cell r="B2015" t="str">
            <v>Ehab Hajou</v>
          </cell>
          <cell r="E2015" t="str">
            <v>TME</v>
          </cell>
          <cell r="F2015" t="str">
            <v>AM</v>
          </cell>
          <cell r="H2015">
            <v>109</v>
          </cell>
          <cell r="I2015">
            <v>20000</v>
          </cell>
        </row>
        <row r="2016">
          <cell r="A2016">
            <v>44896</v>
          </cell>
          <cell r="B2016" t="str">
            <v>Fadi Saleh</v>
          </cell>
          <cell r="E2016" t="str">
            <v>TME</v>
          </cell>
          <cell r="F2016" t="str">
            <v>AM</v>
          </cell>
          <cell r="H2016">
            <v>100</v>
          </cell>
          <cell r="I2016">
            <v>13681</v>
          </cell>
        </row>
        <row r="2017">
          <cell r="A2017">
            <v>44896</v>
          </cell>
          <cell r="B2017" t="str">
            <v>Jeevantha Ranasinghe</v>
          </cell>
          <cell r="E2017" t="str">
            <v>TME</v>
          </cell>
          <cell r="F2017" t="str">
            <v>AM</v>
          </cell>
          <cell r="H2017">
            <v>115</v>
          </cell>
          <cell r="I2017">
            <v>5500</v>
          </cell>
        </row>
        <row r="2018">
          <cell r="A2018">
            <v>44896</v>
          </cell>
          <cell r="B2018" t="str">
            <v>Khalid Mohammed</v>
          </cell>
          <cell r="E2018" t="str">
            <v>TME</v>
          </cell>
          <cell r="F2018" t="str">
            <v>AM</v>
          </cell>
          <cell r="H2018">
            <v>160</v>
          </cell>
          <cell r="I2018">
            <v>15500</v>
          </cell>
        </row>
        <row r="2019">
          <cell r="A2019">
            <v>44896</v>
          </cell>
          <cell r="B2019" t="str">
            <v>Sara Alblooshi</v>
          </cell>
          <cell r="E2019" t="str">
            <v>TME</v>
          </cell>
          <cell r="F2019" t="str">
            <v>AM</v>
          </cell>
          <cell r="H2019">
            <v>66</v>
          </cell>
          <cell r="I2019">
            <v>5500</v>
          </cell>
        </row>
        <row r="2020">
          <cell r="A2020">
            <v>44896</v>
          </cell>
          <cell r="B2020" t="str">
            <v>Suleiman Wanni</v>
          </cell>
          <cell r="E2020" t="str">
            <v>TME</v>
          </cell>
          <cell r="F2020" t="str">
            <v>AM</v>
          </cell>
          <cell r="H2020">
            <v>98</v>
          </cell>
          <cell r="I2020">
            <v>30000</v>
          </cell>
        </row>
        <row r="2021">
          <cell r="A2021">
            <v>44896</v>
          </cell>
          <cell r="B2021" t="str">
            <v>Waseem Suhaf</v>
          </cell>
          <cell r="E2021" t="str">
            <v>TME</v>
          </cell>
          <cell r="F2021" t="str">
            <v>AM</v>
          </cell>
          <cell r="H2021">
            <v>140</v>
          </cell>
          <cell r="I2021">
            <v>6000</v>
          </cell>
        </row>
        <row r="2022">
          <cell r="A2022">
            <v>44896</v>
          </cell>
          <cell r="B2022" t="str">
            <v>Iqbal Hussain</v>
          </cell>
          <cell r="E2022" t="str">
            <v>TME</v>
          </cell>
          <cell r="F2022" t="str">
            <v>AM</v>
          </cell>
          <cell r="H2022">
            <v>66</v>
          </cell>
          <cell r="I2022">
            <v>6500</v>
          </cell>
        </row>
        <row r="2023">
          <cell r="A2023">
            <v>44896</v>
          </cell>
          <cell r="B2023" t="str">
            <v>Rijith Menon</v>
          </cell>
          <cell r="E2023" t="str">
            <v>TME</v>
          </cell>
          <cell r="F2023" t="str">
            <v>AM</v>
          </cell>
          <cell r="H2023">
            <v>206</v>
          </cell>
          <cell r="I2023">
            <v>14500</v>
          </cell>
        </row>
        <row r="2024">
          <cell r="A2024">
            <v>44896</v>
          </cell>
          <cell r="B2024" t="str">
            <v>Mohamad Amer Sibai</v>
          </cell>
          <cell r="E2024" t="str">
            <v>DXB</v>
          </cell>
          <cell r="F2024" t="str">
            <v>D</v>
          </cell>
          <cell r="H2024">
            <v>200</v>
          </cell>
          <cell r="I2024">
            <v>120000</v>
          </cell>
        </row>
        <row r="2025">
          <cell r="A2025">
            <v>44896</v>
          </cell>
          <cell r="B2025" t="str">
            <v>Mohamed Mady</v>
          </cell>
          <cell r="E2025" t="str">
            <v>DXB</v>
          </cell>
          <cell r="F2025" t="str">
            <v>AM</v>
          </cell>
          <cell r="H2025">
            <v>50</v>
          </cell>
          <cell r="I2025">
            <v>25000</v>
          </cell>
        </row>
        <row r="2026">
          <cell r="A2026">
            <v>44896</v>
          </cell>
          <cell r="B2026" t="str">
            <v>Ramzi Gholmieh</v>
          </cell>
          <cell r="E2026" t="str">
            <v>DXB</v>
          </cell>
          <cell r="F2026" t="str">
            <v>AM</v>
          </cell>
          <cell r="H2026">
            <v>50</v>
          </cell>
          <cell r="I2026">
            <v>65000</v>
          </cell>
        </row>
        <row r="2027">
          <cell r="A2027">
            <v>44896</v>
          </cell>
          <cell r="B2027" t="str">
            <v>Buti Bin Salmin</v>
          </cell>
          <cell r="E2027" t="str">
            <v>DXB</v>
          </cell>
          <cell r="F2027" t="str">
            <v>AM</v>
          </cell>
          <cell r="H2027">
            <v>50</v>
          </cell>
          <cell r="I2027">
            <v>5000</v>
          </cell>
        </row>
        <row r="2028">
          <cell r="A2028">
            <v>44896</v>
          </cell>
          <cell r="B2028" t="str">
            <v>Talal Ahmed Ali Alsharhan</v>
          </cell>
          <cell r="E2028" t="str">
            <v>DXB</v>
          </cell>
          <cell r="F2028" t="str">
            <v>AM</v>
          </cell>
          <cell r="H2028">
            <v>50</v>
          </cell>
          <cell r="I2028">
            <v>25000</v>
          </cell>
        </row>
        <row r="2029">
          <cell r="A2029">
            <v>44896</v>
          </cell>
          <cell r="B2029" t="str">
            <v>Khaled Alawadi</v>
          </cell>
          <cell r="E2029" t="str">
            <v>F-NE</v>
          </cell>
          <cell r="F2029" t="str">
            <v>D</v>
          </cell>
          <cell r="H2029">
            <v>100</v>
          </cell>
          <cell r="I2029">
            <v>50000</v>
          </cell>
        </row>
        <row r="2030">
          <cell r="A2030">
            <v>44896</v>
          </cell>
          <cell r="B2030" t="str">
            <v>Bader Al Shehhi</v>
          </cell>
          <cell r="E2030" t="str">
            <v>F-NE</v>
          </cell>
          <cell r="F2030" t="str">
            <v>AM</v>
          </cell>
          <cell r="H2030">
            <v>5</v>
          </cell>
          <cell r="I2030">
            <v>2500</v>
          </cell>
        </row>
        <row r="2031">
          <cell r="A2031">
            <v>44896</v>
          </cell>
          <cell r="B2031" t="str">
            <v>Majd Nairoukh</v>
          </cell>
          <cell r="E2031" t="str">
            <v>F-NE</v>
          </cell>
          <cell r="F2031" t="str">
            <v>AM</v>
          </cell>
          <cell r="H2031">
            <v>5</v>
          </cell>
          <cell r="I2031">
            <v>10000</v>
          </cell>
        </row>
        <row r="2032">
          <cell r="A2032">
            <v>44896</v>
          </cell>
          <cell r="B2032" t="str">
            <v>Nader AlMustafa</v>
          </cell>
          <cell r="E2032" t="str">
            <v>F-NE</v>
          </cell>
          <cell r="F2032" t="str">
            <v>AM</v>
          </cell>
          <cell r="H2032">
            <v>5</v>
          </cell>
          <cell r="I2032">
            <v>31500</v>
          </cell>
        </row>
        <row r="2033">
          <cell r="A2033">
            <v>44896</v>
          </cell>
          <cell r="B2033" t="str">
            <v>Tariq AlAwadhi</v>
          </cell>
          <cell r="E2033" t="str">
            <v>F-NE</v>
          </cell>
          <cell r="F2033" t="str">
            <v>AM</v>
          </cell>
          <cell r="H2033">
            <v>80</v>
          </cell>
          <cell r="I2033">
            <v>1000</v>
          </cell>
        </row>
        <row r="2034">
          <cell r="A2034">
            <v>44896</v>
          </cell>
          <cell r="B2034" t="str">
            <v>Yousef Al Baloushi</v>
          </cell>
          <cell r="E2034" t="str">
            <v>F-NE</v>
          </cell>
          <cell r="F2034" t="str">
            <v>AM</v>
          </cell>
          <cell r="H2034">
            <v>5</v>
          </cell>
          <cell r="I2034">
            <v>5000</v>
          </cell>
        </row>
        <row r="2035">
          <cell r="A2035">
            <v>44896</v>
          </cell>
          <cell r="B2035" t="str">
            <v>Khalid Karmastaji</v>
          </cell>
          <cell r="E2035" t="str">
            <v>KA-AUH</v>
          </cell>
          <cell r="F2035" t="str">
            <v>D</v>
          </cell>
          <cell r="H2035">
            <v>350</v>
          </cell>
          <cell r="I2035">
            <v>150000</v>
          </cell>
        </row>
        <row r="2036">
          <cell r="A2036">
            <v>44896</v>
          </cell>
          <cell r="B2036" t="str">
            <v>Ammar Alqudsi</v>
          </cell>
          <cell r="E2036" t="str">
            <v>KA-AUH</v>
          </cell>
          <cell r="F2036" t="str">
            <v>AM</v>
          </cell>
          <cell r="H2036">
            <v>33</v>
          </cell>
          <cell r="I2036">
            <v>17000</v>
          </cell>
        </row>
        <row r="2037">
          <cell r="A2037">
            <v>44896</v>
          </cell>
          <cell r="B2037" t="str">
            <v>Osman Basuleman</v>
          </cell>
          <cell r="E2037" t="str">
            <v>KA-AUH</v>
          </cell>
          <cell r="F2037" t="str">
            <v>AM</v>
          </cell>
          <cell r="H2037">
            <v>35</v>
          </cell>
          <cell r="I2037">
            <v>15000</v>
          </cell>
        </row>
        <row r="2038">
          <cell r="A2038">
            <v>44896</v>
          </cell>
          <cell r="B2038" t="str">
            <v>Tarek Solh</v>
          </cell>
          <cell r="E2038" t="str">
            <v>KA-AUH</v>
          </cell>
          <cell r="F2038" t="str">
            <v>AM</v>
          </cell>
          <cell r="H2038">
            <v>100</v>
          </cell>
          <cell r="I2038">
            <v>33000</v>
          </cell>
        </row>
        <row r="2039">
          <cell r="A2039">
            <v>44896</v>
          </cell>
          <cell r="B2039" t="str">
            <v>Khamis Almakrani</v>
          </cell>
          <cell r="E2039" t="str">
            <v>KA-AUH</v>
          </cell>
          <cell r="F2039" t="str">
            <v>AM</v>
          </cell>
          <cell r="H2039">
            <v>25</v>
          </cell>
          <cell r="I2039">
            <v>11000</v>
          </cell>
        </row>
        <row r="2040">
          <cell r="A2040">
            <v>44896</v>
          </cell>
          <cell r="B2040" t="str">
            <v>Khaled Alshamsi</v>
          </cell>
          <cell r="E2040" t="str">
            <v>KA-AUH</v>
          </cell>
          <cell r="F2040" t="str">
            <v>AM</v>
          </cell>
          <cell r="H2040">
            <v>45</v>
          </cell>
          <cell r="I2040">
            <v>20000</v>
          </cell>
        </row>
        <row r="2041">
          <cell r="A2041">
            <v>44896</v>
          </cell>
          <cell r="B2041" t="str">
            <v>Omar AlHammadi</v>
          </cell>
          <cell r="E2041" t="str">
            <v>KA-AUH</v>
          </cell>
          <cell r="F2041" t="str">
            <v>AM</v>
          </cell>
          <cell r="H2041">
            <v>35</v>
          </cell>
          <cell r="I2041">
            <v>13000</v>
          </cell>
        </row>
        <row r="2042">
          <cell r="A2042">
            <v>44896</v>
          </cell>
          <cell r="B2042" t="str">
            <v>Yousef Alhosani</v>
          </cell>
          <cell r="E2042" t="str">
            <v>KA-AUH</v>
          </cell>
          <cell r="F2042" t="str">
            <v>AM</v>
          </cell>
          <cell r="H2042">
            <v>25</v>
          </cell>
          <cell r="I2042">
            <v>12000</v>
          </cell>
        </row>
        <row r="2043">
          <cell r="A2043">
            <v>44896</v>
          </cell>
          <cell r="B2043" t="str">
            <v>Humaid Almaazmi</v>
          </cell>
          <cell r="E2043" t="str">
            <v>KA-AUH</v>
          </cell>
          <cell r="F2043" t="str">
            <v>AM</v>
          </cell>
          <cell r="H2043">
            <v>25</v>
          </cell>
          <cell r="I2043">
            <v>15000</v>
          </cell>
        </row>
        <row r="2044">
          <cell r="A2044">
            <v>44896</v>
          </cell>
          <cell r="B2044" t="str">
            <v>Abdulla Alhashmi</v>
          </cell>
          <cell r="E2044" t="str">
            <v>KA-AUH</v>
          </cell>
          <cell r="F2044" t="str">
            <v>AM</v>
          </cell>
          <cell r="H2044">
            <v>27</v>
          </cell>
          <cell r="I2044">
            <v>14000</v>
          </cell>
        </row>
        <row r="2045">
          <cell r="A2045">
            <v>44896</v>
          </cell>
          <cell r="B2045" t="str">
            <v>Mazen Adem</v>
          </cell>
          <cell r="E2045" t="str">
            <v>KA</v>
          </cell>
          <cell r="F2045" t="str">
            <v>D</v>
          </cell>
          <cell r="H2045">
            <v>550</v>
          </cell>
          <cell r="I2045">
            <v>130000</v>
          </cell>
        </row>
        <row r="2046">
          <cell r="A2046">
            <v>44896</v>
          </cell>
          <cell r="B2046" t="str">
            <v>Abdel Azim Sharabati</v>
          </cell>
          <cell r="E2046" t="str">
            <v>KA</v>
          </cell>
          <cell r="F2046" t="str">
            <v>AM</v>
          </cell>
          <cell r="H2046">
            <v>60</v>
          </cell>
          <cell r="I2046">
            <v>12000</v>
          </cell>
        </row>
        <row r="2047">
          <cell r="A2047">
            <v>44896</v>
          </cell>
          <cell r="B2047" t="str">
            <v>Abraham Cherian</v>
          </cell>
          <cell r="E2047" t="str">
            <v>KA</v>
          </cell>
          <cell r="F2047" t="str">
            <v>AM</v>
          </cell>
          <cell r="H2047">
            <v>50</v>
          </cell>
          <cell r="I2047">
            <v>40000</v>
          </cell>
        </row>
        <row r="2048">
          <cell r="A2048">
            <v>44896</v>
          </cell>
          <cell r="B2048" t="str">
            <v>Arjun Subaraman</v>
          </cell>
          <cell r="E2048" t="str">
            <v>KA</v>
          </cell>
          <cell r="F2048" t="str">
            <v>AM</v>
          </cell>
          <cell r="H2048">
            <v>60</v>
          </cell>
          <cell r="I2048">
            <v>20000</v>
          </cell>
        </row>
        <row r="2049">
          <cell r="A2049">
            <v>44896</v>
          </cell>
          <cell r="B2049" t="str">
            <v>Ghassan Fouany</v>
          </cell>
          <cell r="E2049" t="str">
            <v>KA</v>
          </cell>
          <cell r="F2049" t="str">
            <v>AM</v>
          </cell>
          <cell r="H2049">
            <v>170</v>
          </cell>
          <cell r="I2049">
            <v>15000</v>
          </cell>
        </row>
        <row r="2050">
          <cell r="A2050">
            <v>44896</v>
          </cell>
          <cell r="B2050" t="str">
            <v>Inayat Fazili</v>
          </cell>
          <cell r="E2050" t="str">
            <v>KA</v>
          </cell>
          <cell r="F2050" t="str">
            <v>AM</v>
          </cell>
          <cell r="H2050">
            <v>60</v>
          </cell>
          <cell r="I2050">
            <v>35000</v>
          </cell>
        </row>
        <row r="2051">
          <cell r="A2051">
            <v>44896</v>
          </cell>
          <cell r="B2051" t="str">
            <v>Mohd Sheikh Salem</v>
          </cell>
          <cell r="E2051" t="str">
            <v>KA</v>
          </cell>
          <cell r="F2051" t="str">
            <v>AM</v>
          </cell>
          <cell r="H2051">
            <v>150</v>
          </cell>
          <cell r="I2051">
            <v>8000</v>
          </cell>
        </row>
        <row r="2052">
          <cell r="A2052">
            <v>44927</v>
          </cell>
          <cell r="B2052" t="str">
            <v>Muhammad Shahzad Hasan</v>
          </cell>
          <cell r="E2052" t="str">
            <v>FCR</v>
          </cell>
          <cell r="F2052" t="str">
            <v>D</v>
          </cell>
          <cell r="H2052">
            <v>1622</v>
          </cell>
          <cell r="I2052">
            <v>309445</v>
          </cell>
        </row>
        <row r="2053">
          <cell r="A2053">
            <v>44927</v>
          </cell>
          <cell r="B2053" t="str">
            <v>Eslam Hassan</v>
          </cell>
          <cell r="E2053" t="str">
            <v>FCR</v>
          </cell>
          <cell r="F2053" t="str">
            <v>AM</v>
          </cell>
          <cell r="H2053">
            <v>150</v>
          </cell>
          <cell r="I2053">
            <v>22300</v>
          </cell>
        </row>
        <row r="2054">
          <cell r="A2054">
            <v>44927</v>
          </cell>
          <cell r="B2054" t="str">
            <v>Farha Hameed</v>
          </cell>
          <cell r="E2054" t="str">
            <v>FCR</v>
          </cell>
          <cell r="F2054" t="str">
            <v>AM</v>
          </cell>
          <cell r="H2054">
            <v>100</v>
          </cell>
          <cell r="I2054">
            <v>22800</v>
          </cell>
        </row>
        <row r="2055">
          <cell r="A2055">
            <v>44927</v>
          </cell>
          <cell r="B2055" t="str">
            <v>Mohamad Labban</v>
          </cell>
          <cell r="E2055" t="str">
            <v>FCR</v>
          </cell>
          <cell r="F2055" t="str">
            <v>AM</v>
          </cell>
          <cell r="H2055">
            <v>100</v>
          </cell>
          <cell r="I2055">
            <v>25300</v>
          </cell>
        </row>
        <row r="2056">
          <cell r="A2056">
            <v>44927</v>
          </cell>
          <cell r="B2056" t="str">
            <v>Mohamed Mostafa</v>
          </cell>
          <cell r="E2056" t="str">
            <v>FCR</v>
          </cell>
          <cell r="F2056" t="str">
            <v>AM</v>
          </cell>
          <cell r="H2056">
            <v>116</v>
          </cell>
          <cell r="I2056">
            <v>22800</v>
          </cell>
        </row>
        <row r="2057">
          <cell r="A2057">
            <v>44927</v>
          </cell>
          <cell r="B2057" t="str">
            <v>Nadeem Rasheed</v>
          </cell>
          <cell r="E2057" t="str">
            <v>FCR</v>
          </cell>
          <cell r="F2057" t="str">
            <v>AM</v>
          </cell>
          <cell r="H2057">
            <v>116</v>
          </cell>
          <cell r="I2057">
            <v>22920</v>
          </cell>
        </row>
        <row r="2058">
          <cell r="A2058">
            <v>44927</v>
          </cell>
          <cell r="B2058" t="str">
            <v>Othman Hassan</v>
          </cell>
          <cell r="E2058" t="str">
            <v>FCR</v>
          </cell>
          <cell r="F2058" t="str">
            <v>AM</v>
          </cell>
          <cell r="H2058">
            <v>90</v>
          </cell>
          <cell r="I2058">
            <v>22800</v>
          </cell>
        </row>
        <row r="2059">
          <cell r="A2059">
            <v>44927</v>
          </cell>
          <cell r="B2059" t="str">
            <v>Ranjith Chandran</v>
          </cell>
          <cell r="E2059" t="str">
            <v>FCR</v>
          </cell>
          <cell r="F2059" t="str">
            <v>AM</v>
          </cell>
          <cell r="H2059">
            <v>110</v>
          </cell>
          <cell r="I2059">
            <v>22300</v>
          </cell>
        </row>
        <row r="2060">
          <cell r="A2060">
            <v>44927</v>
          </cell>
          <cell r="B2060" t="str">
            <v>Richard Chandy</v>
          </cell>
          <cell r="E2060" t="str">
            <v>FCR</v>
          </cell>
          <cell r="F2060" t="str">
            <v>AM</v>
          </cell>
          <cell r="H2060">
            <v>106</v>
          </cell>
          <cell r="I2060">
            <v>20300</v>
          </cell>
        </row>
        <row r="2061">
          <cell r="A2061">
            <v>44927</v>
          </cell>
          <cell r="B2061" t="str">
            <v>Simon Williams</v>
          </cell>
          <cell r="E2061" t="str">
            <v>FCR</v>
          </cell>
          <cell r="F2061" t="str">
            <v>AM</v>
          </cell>
          <cell r="H2061">
            <v>116</v>
          </cell>
          <cell r="I2061">
            <v>25000</v>
          </cell>
        </row>
        <row r="2062">
          <cell r="A2062">
            <v>44927</v>
          </cell>
          <cell r="B2062" t="str">
            <v>Usman Zafar Sipra</v>
          </cell>
          <cell r="E2062" t="str">
            <v>FCR</v>
          </cell>
          <cell r="F2062" t="str">
            <v>AM</v>
          </cell>
          <cell r="H2062">
            <v>105</v>
          </cell>
          <cell r="I2062">
            <v>30000</v>
          </cell>
        </row>
        <row r="2063">
          <cell r="A2063">
            <v>44927</v>
          </cell>
          <cell r="B2063" t="str">
            <v>Peter Sedrak</v>
          </cell>
          <cell r="E2063" t="str">
            <v>FCR</v>
          </cell>
          <cell r="F2063" t="str">
            <v>AM</v>
          </cell>
          <cell r="H2063">
            <v>100</v>
          </cell>
          <cell r="I2063">
            <v>17300</v>
          </cell>
        </row>
        <row r="2064">
          <cell r="A2064">
            <v>44927</v>
          </cell>
          <cell r="B2064" t="str">
            <v>Mohamed Kishk</v>
          </cell>
          <cell r="E2064" t="str">
            <v>FCR</v>
          </cell>
          <cell r="F2064" t="str">
            <v>AM</v>
          </cell>
          <cell r="H2064">
            <v>120</v>
          </cell>
          <cell r="I2064">
            <v>25325</v>
          </cell>
        </row>
        <row r="2065">
          <cell r="A2065">
            <v>44927</v>
          </cell>
          <cell r="B2065" t="str">
            <v>Muhammad Ismail</v>
          </cell>
          <cell r="E2065" t="str">
            <v>FCR</v>
          </cell>
          <cell r="F2065" t="str">
            <v>AM</v>
          </cell>
          <cell r="H2065">
            <v>198</v>
          </cell>
          <cell r="I2065">
            <v>15000</v>
          </cell>
        </row>
        <row r="2066">
          <cell r="A2066">
            <v>44927</v>
          </cell>
          <cell r="B2066" t="str">
            <v>Muhammad AbdullahTahir</v>
          </cell>
          <cell r="E2066" t="str">
            <v>FCR</v>
          </cell>
          <cell r="F2066" t="str">
            <v>AM</v>
          </cell>
          <cell r="H2066">
            <v>95</v>
          </cell>
          <cell r="I2066">
            <v>15300</v>
          </cell>
        </row>
        <row r="2067">
          <cell r="A2067">
            <v>44927</v>
          </cell>
          <cell r="B2067" t="str">
            <v>Maitha Bin Malek</v>
          </cell>
          <cell r="E2067" t="str">
            <v>HHTT</v>
          </cell>
          <cell r="F2067" t="str">
            <v>D</v>
          </cell>
          <cell r="H2067">
            <v>1484</v>
          </cell>
          <cell r="I2067">
            <v>304612.85333333333</v>
          </cell>
        </row>
        <row r="2068">
          <cell r="A2068">
            <v>44927</v>
          </cell>
          <cell r="B2068" t="str">
            <v>Atef Kassem</v>
          </cell>
          <cell r="E2068" t="str">
            <v>HHTT</v>
          </cell>
          <cell r="F2068" t="str">
            <v>AM</v>
          </cell>
          <cell r="H2068">
            <v>99</v>
          </cell>
          <cell r="I2068">
            <v>21000</v>
          </cell>
        </row>
        <row r="2069">
          <cell r="A2069">
            <v>44927</v>
          </cell>
          <cell r="B2069" t="str">
            <v>Bashar Al Adilee</v>
          </cell>
          <cell r="E2069" t="str">
            <v>HHTT</v>
          </cell>
          <cell r="F2069" t="str">
            <v>AM</v>
          </cell>
          <cell r="H2069">
            <v>110</v>
          </cell>
          <cell r="I2069">
            <v>29000</v>
          </cell>
        </row>
        <row r="2070">
          <cell r="A2070">
            <v>44927</v>
          </cell>
          <cell r="B2070" t="str">
            <v>Favas Kurinhilayil</v>
          </cell>
          <cell r="E2070" t="str">
            <v>HHTT</v>
          </cell>
          <cell r="F2070" t="str">
            <v>AM</v>
          </cell>
          <cell r="H2070">
            <v>110</v>
          </cell>
          <cell r="I2070">
            <v>29000</v>
          </cell>
        </row>
        <row r="2071">
          <cell r="A2071">
            <v>44927</v>
          </cell>
          <cell r="B2071" t="str">
            <v>Feroz Shaikh</v>
          </cell>
          <cell r="E2071" t="str">
            <v>HHTT</v>
          </cell>
          <cell r="F2071" t="str">
            <v>AM</v>
          </cell>
          <cell r="H2071">
            <v>110</v>
          </cell>
          <cell r="I2071">
            <v>29000</v>
          </cell>
        </row>
        <row r="2072">
          <cell r="A2072">
            <v>44927</v>
          </cell>
          <cell r="B2072" t="str">
            <v>Junaid Warris</v>
          </cell>
          <cell r="E2072" t="str">
            <v>HHTT</v>
          </cell>
          <cell r="F2072" t="str">
            <v>AM</v>
          </cell>
          <cell r="H2072">
            <v>109</v>
          </cell>
          <cell r="I2072">
            <v>26000</v>
          </cell>
        </row>
        <row r="2073">
          <cell r="A2073">
            <v>44927</v>
          </cell>
          <cell r="B2073" t="str">
            <v>Muhammad Nauman Khan</v>
          </cell>
          <cell r="E2073" t="str">
            <v>HHTT</v>
          </cell>
          <cell r="F2073" t="str">
            <v>AM</v>
          </cell>
          <cell r="H2073">
            <v>110</v>
          </cell>
          <cell r="I2073">
            <v>18000</v>
          </cell>
        </row>
        <row r="2074">
          <cell r="A2074">
            <v>44927</v>
          </cell>
          <cell r="B2074" t="str">
            <v>Mushahid Hussain Syed</v>
          </cell>
          <cell r="E2074" t="str">
            <v>HHTT</v>
          </cell>
          <cell r="F2074" t="str">
            <v>AM</v>
          </cell>
          <cell r="H2074">
            <v>99</v>
          </cell>
          <cell r="I2074">
            <v>18613</v>
          </cell>
        </row>
        <row r="2075">
          <cell r="A2075">
            <v>44927</v>
          </cell>
          <cell r="B2075" t="str">
            <v>Osama ElWawi</v>
          </cell>
          <cell r="E2075" t="str">
            <v>HHTT</v>
          </cell>
          <cell r="F2075" t="str">
            <v>AM</v>
          </cell>
          <cell r="H2075">
            <v>110</v>
          </cell>
          <cell r="I2075">
            <v>23000</v>
          </cell>
        </row>
        <row r="2076">
          <cell r="A2076">
            <v>44927</v>
          </cell>
          <cell r="B2076" t="str">
            <v>Ramez Al Alami</v>
          </cell>
          <cell r="E2076" t="str">
            <v>HHTT</v>
          </cell>
          <cell r="F2076" t="str">
            <v>AM</v>
          </cell>
          <cell r="H2076">
            <v>110</v>
          </cell>
          <cell r="I2076">
            <v>29000</v>
          </cell>
        </row>
        <row r="2077">
          <cell r="A2077">
            <v>44927</v>
          </cell>
          <cell r="B2077" t="str">
            <v>Ramy Abdel Fattah</v>
          </cell>
          <cell r="E2077" t="str">
            <v>HHTT</v>
          </cell>
          <cell r="F2077" t="str">
            <v>AM</v>
          </cell>
          <cell r="H2077">
            <v>99</v>
          </cell>
          <cell r="I2077">
            <v>28000</v>
          </cell>
        </row>
        <row r="2078">
          <cell r="A2078">
            <v>44927</v>
          </cell>
          <cell r="B2078" t="str">
            <v>Wasim Raja</v>
          </cell>
          <cell r="E2078" t="str">
            <v>HHTT</v>
          </cell>
          <cell r="F2078" t="str">
            <v>AM</v>
          </cell>
          <cell r="H2078">
            <v>99</v>
          </cell>
          <cell r="I2078">
            <v>20000</v>
          </cell>
        </row>
        <row r="2079">
          <cell r="A2079">
            <v>44927</v>
          </cell>
          <cell r="B2079" t="str">
            <v>Ubaid Ahanger</v>
          </cell>
          <cell r="E2079" t="str">
            <v>HHTT</v>
          </cell>
          <cell r="F2079" t="str">
            <v>AM</v>
          </cell>
          <cell r="H2079">
            <v>70</v>
          </cell>
          <cell r="I2079">
            <v>16000</v>
          </cell>
        </row>
        <row r="2080">
          <cell r="A2080">
            <v>44927</v>
          </cell>
          <cell r="B2080" t="str">
            <v>Khalid Mohammed</v>
          </cell>
          <cell r="E2080" t="str">
            <v>HHTT</v>
          </cell>
          <cell r="F2080" t="str">
            <v>AM</v>
          </cell>
          <cell r="H2080">
            <v>248.55654512811054</v>
          </cell>
          <cell r="I2080">
            <v>18000</v>
          </cell>
        </row>
        <row r="2081">
          <cell r="A2081">
            <v>44927</v>
          </cell>
          <cell r="B2081" t="str">
            <v>Imran Malik</v>
          </cell>
          <cell r="E2081" t="str">
            <v>RCOGM</v>
          </cell>
          <cell r="F2081" t="str">
            <v>D</v>
          </cell>
          <cell r="H2081">
            <v>1664</v>
          </cell>
          <cell r="I2081">
            <v>238432</v>
          </cell>
        </row>
        <row r="2082">
          <cell r="A2082">
            <v>44927</v>
          </cell>
          <cell r="B2082" t="str">
            <v>AlMas Zaheer</v>
          </cell>
          <cell r="E2082" t="str">
            <v>RCOGM</v>
          </cell>
          <cell r="F2082" t="str">
            <v>AM</v>
          </cell>
          <cell r="H2082">
            <v>70</v>
          </cell>
          <cell r="I2082">
            <v>12000</v>
          </cell>
        </row>
        <row r="2083">
          <cell r="A2083">
            <v>44927</v>
          </cell>
          <cell r="B2083" t="str">
            <v>Shiraz Niazi</v>
          </cell>
          <cell r="E2083" t="str">
            <v>RCOGM</v>
          </cell>
          <cell r="F2083" t="str">
            <v>AM</v>
          </cell>
          <cell r="H2083">
            <v>125</v>
          </cell>
          <cell r="I2083">
            <v>18000</v>
          </cell>
        </row>
        <row r="2084">
          <cell r="A2084">
            <v>44927</v>
          </cell>
          <cell r="B2084" t="str">
            <v>Adnan Bashir</v>
          </cell>
          <cell r="E2084" t="str">
            <v>RCOGM</v>
          </cell>
          <cell r="F2084" t="str">
            <v>AM</v>
          </cell>
          <cell r="H2084">
            <v>125</v>
          </cell>
          <cell r="I2084">
            <v>18000</v>
          </cell>
        </row>
        <row r="2085">
          <cell r="A2085">
            <v>44927</v>
          </cell>
          <cell r="B2085" t="str">
            <v>Aijaz Darzi</v>
          </cell>
          <cell r="E2085" t="str">
            <v>RCOGM</v>
          </cell>
          <cell r="F2085" t="str">
            <v>AM</v>
          </cell>
          <cell r="H2085">
            <v>70</v>
          </cell>
          <cell r="I2085">
            <v>12000</v>
          </cell>
        </row>
        <row r="2086">
          <cell r="A2086">
            <v>44927</v>
          </cell>
          <cell r="B2086" t="str">
            <v>Ali Alzarooni</v>
          </cell>
          <cell r="E2086" t="str">
            <v>RCOGM</v>
          </cell>
          <cell r="F2086" t="str">
            <v>AM</v>
          </cell>
          <cell r="H2086">
            <v>125</v>
          </cell>
          <cell r="I2086">
            <v>18000</v>
          </cell>
        </row>
        <row r="2087">
          <cell r="A2087">
            <v>44927</v>
          </cell>
          <cell r="B2087" t="str">
            <v>Ali Shahin</v>
          </cell>
          <cell r="E2087" t="str">
            <v>RCOGM</v>
          </cell>
          <cell r="F2087" t="str">
            <v>AM</v>
          </cell>
          <cell r="H2087">
            <v>175</v>
          </cell>
          <cell r="I2087">
            <v>28000</v>
          </cell>
        </row>
        <row r="2088">
          <cell r="A2088">
            <v>44927</v>
          </cell>
          <cell r="B2088" t="str">
            <v>Ammar Aladily</v>
          </cell>
          <cell r="E2088" t="str">
            <v>RCOGM</v>
          </cell>
          <cell r="F2088" t="str">
            <v>AM</v>
          </cell>
          <cell r="H2088">
            <v>299</v>
          </cell>
          <cell r="I2088">
            <v>36000</v>
          </cell>
        </row>
        <row r="2089">
          <cell r="A2089">
            <v>44927</v>
          </cell>
          <cell r="B2089" t="str">
            <v>Ayaz Zargar</v>
          </cell>
          <cell r="E2089" t="str">
            <v>RCOGM</v>
          </cell>
          <cell r="F2089" t="str">
            <v>AM</v>
          </cell>
          <cell r="H2089">
            <v>125</v>
          </cell>
          <cell r="I2089">
            <v>18000</v>
          </cell>
        </row>
        <row r="2090">
          <cell r="A2090">
            <v>44927</v>
          </cell>
          <cell r="B2090" t="str">
            <v>Danish Shabir</v>
          </cell>
          <cell r="E2090" t="str">
            <v>RCOGM</v>
          </cell>
          <cell r="F2090" t="str">
            <v>AM</v>
          </cell>
          <cell r="H2090">
            <v>125</v>
          </cell>
          <cell r="I2090">
            <v>18000</v>
          </cell>
        </row>
        <row r="2091">
          <cell r="A2091">
            <v>44927</v>
          </cell>
          <cell r="B2091" t="str">
            <v>Sana Shaikh</v>
          </cell>
          <cell r="E2091" t="str">
            <v>RCOGM</v>
          </cell>
          <cell r="F2091" t="str">
            <v>AM</v>
          </cell>
          <cell r="H2091">
            <v>125</v>
          </cell>
          <cell r="I2091">
            <v>18000</v>
          </cell>
        </row>
        <row r="2092">
          <cell r="A2092">
            <v>44927</v>
          </cell>
          <cell r="B2092" t="str">
            <v>Shabbir Lacewala</v>
          </cell>
          <cell r="E2092" t="str">
            <v>RCOGM</v>
          </cell>
          <cell r="F2092" t="str">
            <v>AM</v>
          </cell>
          <cell r="H2092">
            <v>175</v>
          </cell>
          <cell r="I2092">
            <v>28000</v>
          </cell>
        </row>
        <row r="2093">
          <cell r="A2093">
            <v>44927</v>
          </cell>
          <cell r="B2093" t="str">
            <v>Shadab Sheikh</v>
          </cell>
          <cell r="E2093" t="str">
            <v>RCOGM</v>
          </cell>
          <cell r="F2093" t="str">
            <v>AM</v>
          </cell>
          <cell r="H2093">
            <v>125</v>
          </cell>
          <cell r="I2093">
            <v>18000</v>
          </cell>
        </row>
        <row r="2094">
          <cell r="A2094">
            <v>44927</v>
          </cell>
          <cell r="B2094" t="str">
            <v>Hany Jawee</v>
          </cell>
          <cell r="E2094" t="str">
            <v>TME</v>
          </cell>
          <cell r="F2094" t="str">
            <v>D</v>
          </cell>
          <cell r="H2094">
            <v>1430</v>
          </cell>
          <cell r="I2094">
            <v>312509.7533333333</v>
          </cell>
        </row>
        <row r="2095">
          <cell r="A2095">
            <v>44927</v>
          </cell>
          <cell r="B2095" t="str">
            <v>Ahmad Ozdamir</v>
          </cell>
          <cell r="E2095" t="str">
            <v>TME</v>
          </cell>
          <cell r="F2095" t="str">
            <v>AM</v>
          </cell>
          <cell r="H2095">
            <v>85</v>
          </cell>
          <cell r="I2095">
            <v>8000</v>
          </cell>
        </row>
        <row r="2096">
          <cell r="A2096">
            <v>44927</v>
          </cell>
          <cell r="B2096" t="str">
            <v>Ahmed AlShehhi</v>
          </cell>
          <cell r="E2096" t="str">
            <v>TME</v>
          </cell>
          <cell r="F2096" t="str">
            <v>AM</v>
          </cell>
          <cell r="H2096">
            <v>90</v>
          </cell>
          <cell r="I2096">
            <v>15000</v>
          </cell>
        </row>
        <row r="2097">
          <cell r="A2097">
            <v>44927</v>
          </cell>
          <cell r="B2097" t="str">
            <v>Amjad Ilwan</v>
          </cell>
          <cell r="E2097" t="str">
            <v>TME</v>
          </cell>
          <cell r="F2097" t="str">
            <v>AM</v>
          </cell>
          <cell r="H2097">
            <v>85</v>
          </cell>
          <cell r="I2097">
            <v>15000</v>
          </cell>
        </row>
        <row r="2098">
          <cell r="A2098">
            <v>44927</v>
          </cell>
          <cell r="B2098" t="str">
            <v>Anastasia Maltseva</v>
          </cell>
          <cell r="E2098" t="str">
            <v>TME</v>
          </cell>
          <cell r="F2098" t="str">
            <v>AM</v>
          </cell>
          <cell r="H2098">
            <v>75</v>
          </cell>
          <cell r="I2098">
            <v>10000</v>
          </cell>
        </row>
        <row r="2099">
          <cell r="A2099">
            <v>44927</v>
          </cell>
          <cell r="B2099" t="str">
            <v>Buhari Buhari</v>
          </cell>
          <cell r="E2099" t="str">
            <v>TME</v>
          </cell>
          <cell r="F2099" t="str">
            <v>AM</v>
          </cell>
          <cell r="H2099">
            <v>75</v>
          </cell>
          <cell r="I2099">
            <v>8000</v>
          </cell>
        </row>
        <row r="2100">
          <cell r="A2100">
            <v>44927</v>
          </cell>
          <cell r="B2100" t="str">
            <v>Ehab Hajou</v>
          </cell>
          <cell r="E2100" t="str">
            <v>TME</v>
          </cell>
          <cell r="F2100" t="str">
            <v>AM</v>
          </cell>
          <cell r="H2100">
            <v>490</v>
          </cell>
          <cell r="I2100">
            <v>15000</v>
          </cell>
        </row>
        <row r="2101">
          <cell r="A2101">
            <v>44927</v>
          </cell>
          <cell r="B2101" t="str">
            <v>Fadi Saleh</v>
          </cell>
          <cell r="E2101" t="str">
            <v>TME</v>
          </cell>
          <cell r="F2101" t="str">
            <v>AM</v>
          </cell>
          <cell r="H2101">
            <v>55</v>
          </cell>
          <cell r="I2101">
            <v>15000</v>
          </cell>
        </row>
        <row r="2102">
          <cell r="A2102">
            <v>44927</v>
          </cell>
          <cell r="B2102" t="str">
            <v>Jeevantha Ranasinghe</v>
          </cell>
          <cell r="E2102" t="str">
            <v>TME</v>
          </cell>
          <cell r="F2102" t="str">
            <v>AM</v>
          </cell>
          <cell r="H2102">
            <v>90</v>
          </cell>
          <cell r="I2102">
            <v>10000</v>
          </cell>
        </row>
        <row r="2103">
          <cell r="A2103">
            <v>44927</v>
          </cell>
          <cell r="B2103" t="str">
            <v>Sara Alblooshi</v>
          </cell>
          <cell r="E2103" t="str">
            <v>TME</v>
          </cell>
          <cell r="F2103" t="str">
            <v>AM</v>
          </cell>
          <cell r="H2103">
            <v>75</v>
          </cell>
          <cell r="I2103">
            <v>3500</v>
          </cell>
        </row>
        <row r="2104">
          <cell r="A2104">
            <v>44927</v>
          </cell>
          <cell r="B2104" t="str">
            <v>Suleiman Wanni</v>
          </cell>
          <cell r="E2104" t="str">
            <v>TME</v>
          </cell>
          <cell r="F2104" t="str">
            <v>AM</v>
          </cell>
          <cell r="H2104">
            <v>75</v>
          </cell>
          <cell r="I2104">
            <v>174510</v>
          </cell>
        </row>
        <row r="2105">
          <cell r="A2105">
            <v>44927</v>
          </cell>
          <cell r="B2105" t="str">
            <v>Waseem Suhaf</v>
          </cell>
          <cell r="E2105" t="str">
            <v>TME</v>
          </cell>
          <cell r="F2105" t="str">
            <v>AM</v>
          </cell>
          <cell r="H2105">
            <v>85</v>
          </cell>
          <cell r="I2105">
            <v>8000</v>
          </cell>
        </row>
        <row r="2106">
          <cell r="A2106">
            <v>44927</v>
          </cell>
          <cell r="B2106" t="str">
            <v>Iqbal Hussain</v>
          </cell>
          <cell r="E2106" t="str">
            <v>TME</v>
          </cell>
          <cell r="F2106" t="str">
            <v>AM</v>
          </cell>
          <cell r="H2106">
            <v>75</v>
          </cell>
          <cell r="I2106">
            <v>5500</v>
          </cell>
        </row>
        <row r="2107">
          <cell r="A2107">
            <v>44927</v>
          </cell>
          <cell r="B2107" t="str">
            <v>Rijith Menon</v>
          </cell>
          <cell r="E2107" t="str">
            <v>TME</v>
          </cell>
          <cell r="F2107" t="str">
            <v>AM</v>
          </cell>
          <cell r="H2107">
            <v>75</v>
          </cell>
          <cell r="I2107">
            <v>25000</v>
          </cell>
        </row>
        <row r="2108">
          <cell r="A2108">
            <v>44927</v>
          </cell>
          <cell r="B2108" t="str">
            <v>Mohamad Amer Sibai</v>
          </cell>
          <cell r="E2108" t="str">
            <v>DXB</v>
          </cell>
          <cell r="F2108" t="str">
            <v>D</v>
          </cell>
          <cell r="H2108">
            <v>200</v>
          </cell>
          <cell r="I2108">
            <v>120000</v>
          </cell>
        </row>
        <row r="2109">
          <cell r="A2109">
            <v>44927</v>
          </cell>
          <cell r="B2109" t="str">
            <v>Mohamed Mady</v>
          </cell>
          <cell r="E2109" t="str">
            <v>DXB</v>
          </cell>
          <cell r="F2109" t="str">
            <v>AM</v>
          </cell>
          <cell r="H2109">
            <v>50</v>
          </cell>
          <cell r="I2109">
            <v>30000</v>
          </cell>
        </row>
        <row r="2110">
          <cell r="A2110">
            <v>44927</v>
          </cell>
          <cell r="B2110" t="str">
            <v>Ramzi Gholmieh</v>
          </cell>
          <cell r="E2110" t="str">
            <v>DXB</v>
          </cell>
          <cell r="F2110" t="str">
            <v>AM</v>
          </cell>
          <cell r="H2110">
            <v>50</v>
          </cell>
          <cell r="I2110">
            <v>30000</v>
          </cell>
        </row>
        <row r="2111">
          <cell r="A2111">
            <v>44927</v>
          </cell>
          <cell r="B2111" t="str">
            <v>Tariq AlAwadhi</v>
          </cell>
          <cell r="E2111" t="str">
            <v>DXB</v>
          </cell>
          <cell r="F2111" t="str">
            <v>AM</v>
          </cell>
          <cell r="H2111">
            <v>50</v>
          </cell>
          <cell r="I2111">
            <v>30000</v>
          </cell>
        </row>
        <row r="2112">
          <cell r="A2112">
            <v>44927</v>
          </cell>
          <cell r="B2112" t="str">
            <v>Talal Ahmed Ali Alsharhan</v>
          </cell>
          <cell r="E2112" t="str">
            <v>DXB</v>
          </cell>
          <cell r="F2112" t="str">
            <v>AM</v>
          </cell>
          <cell r="H2112">
            <v>50</v>
          </cell>
          <cell r="I2112">
            <v>30000</v>
          </cell>
        </row>
        <row r="2113">
          <cell r="A2113">
            <v>44927</v>
          </cell>
          <cell r="B2113" t="str">
            <v>Khaled Alawadi</v>
          </cell>
          <cell r="E2113" t="str">
            <v>F-NE</v>
          </cell>
          <cell r="F2113" t="str">
            <v>D</v>
          </cell>
          <cell r="H2113">
            <v>100</v>
          </cell>
          <cell r="I2113">
            <v>50000</v>
          </cell>
        </row>
        <row r="2114">
          <cell r="A2114">
            <v>44927</v>
          </cell>
          <cell r="B2114" t="str">
            <v>Bader Al Shehhi</v>
          </cell>
          <cell r="E2114" t="str">
            <v>F-NE</v>
          </cell>
          <cell r="F2114" t="str">
            <v>AM</v>
          </cell>
          <cell r="H2114">
            <v>15</v>
          </cell>
          <cell r="I2114">
            <v>25000</v>
          </cell>
        </row>
        <row r="2115">
          <cell r="A2115">
            <v>44927</v>
          </cell>
          <cell r="B2115" t="str">
            <v>Majd Nairoukh</v>
          </cell>
          <cell r="E2115" t="str">
            <v>F-NE</v>
          </cell>
          <cell r="F2115" t="str">
            <v>AM</v>
          </cell>
          <cell r="H2115">
            <v>15</v>
          </cell>
          <cell r="I2115">
            <v>10000</v>
          </cell>
        </row>
        <row r="2116">
          <cell r="A2116">
            <v>44927</v>
          </cell>
          <cell r="B2116" t="str">
            <v>Nader AlMustafa</v>
          </cell>
          <cell r="E2116" t="str">
            <v>F-NE</v>
          </cell>
          <cell r="F2116" t="str">
            <v>AM</v>
          </cell>
          <cell r="H2116">
            <v>55</v>
          </cell>
          <cell r="I2116">
            <v>13500</v>
          </cell>
        </row>
        <row r="2117">
          <cell r="A2117">
            <v>44927</v>
          </cell>
          <cell r="B2117" t="str">
            <v>Yousef Al Baloushi</v>
          </cell>
          <cell r="E2117" t="str">
            <v>F-NE</v>
          </cell>
          <cell r="F2117" t="str">
            <v>AM</v>
          </cell>
          <cell r="H2117">
            <v>15</v>
          </cell>
          <cell r="I2117">
            <v>1500</v>
          </cell>
        </row>
        <row r="2118">
          <cell r="A2118">
            <v>44927</v>
          </cell>
          <cell r="B2118" t="str">
            <v>Khalid Karmastaji</v>
          </cell>
          <cell r="E2118" t="str">
            <v>KA-AUH</v>
          </cell>
          <cell r="F2118" t="str">
            <v>D</v>
          </cell>
          <cell r="H2118">
            <v>350</v>
          </cell>
          <cell r="I2118">
            <v>150000</v>
          </cell>
        </row>
        <row r="2119">
          <cell r="A2119">
            <v>44927</v>
          </cell>
          <cell r="B2119" t="str">
            <v>Ammar Alqudsi</v>
          </cell>
          <cell r="E2119" t="str">
            <v>KA-AUH</v>
          </cell>
          <cell r="F2119" t="str">
            <v>AM</v>
          </cell>
          <cell r="H2119">
            <v>22</v>
          </cell>
          <cell r="I2119">
            <v>24000</v>
          </cell>
        </row>
        <row r="2120">
          <cell r="A2120">
            <v>44927</v>
          </cell>
          <cell r="B2120" t="str">
            <v>Osman Basuleman</v>
          </cell>
          <cell r="E2120" t="str">
            <v>KA-AUH</v>
          </cell>
          <cell r="F2120" t="str">
            <v>AM</v>
          </cell>
          <cell r="H2120">
            <v>31</v>
          </cell>
          <cell r="I2120">
            <v>11000</v>
          </cell>
        </row>
        <row r="2121">
          <cell r="A2121">
            <v>44927</v>
          </cell>
          <cell r="B2121" t="str">
            <v>Tarek Solh</v>
          </cell>
          <cell r="E2121" t="str">
            <v>KA-AUH</v>
          </cell>
          <cell r="F2121" t="str">
            <v>AM</v>
          </cell>
          <cell r="H2121">
            <v>100</v>
          </cell>
          <cell r="I2121">
            <v>30000</v>
          </cell>
        </row>
        <row r="2122">
          <cell r="A2122">
            <v>44927</v>
          </cell>
          <cell r="B2122" t="str">
            <v>Khamis Almakrani</v>
          </cell>
          <cell r="E2122" t="str">
            <v>KA-AUH</v>
          </cell>
          <cell r="F2122" t="str">
            <v>AM</v>
          </cell>
          <cell r="H2122">
            <v>31</v>
          </cell>
          <cell r="I2122">
            <v>11000</v>
          </cell>
        </row>
        <row r="2123">
          <cell r="A2123">
            <v>44927</v>
          </cell>
          <cell r="B2123" t="str">
            <v>Khaled Alshamsi</v>
          </cell>
          <cell r="E2123" t="str">
            <v>KA-AUH</v>
          </cell>
          <cell r="F2123" t="str">
            <v>AM</v>
          </cell>
          <cell r="H2123">
            <v>31</v>
          </cell>
          <cell r="I2123">
            <v>30000</v>
          </cell>
        </row>
        <row r="2124">
          <cell r="A2124">
            <v>44927</v>
          </cell>
          <cell r="B2124" t="str">
            <v>Omar AlHammadi</v>
          </cell>
          <cell r="E2124" t="str">
            <v>KA-AUH</v>
          </cell>
          <cell r="F2124" t="str">
            <v>AM</v>
          </cell>
          <cell r="H2124">
            <v>31</v>
          </cell>
          <cell r="I2124">
            <v>11000</v>
          </cell>
        </row>
        <row r="2125">
          <cell r="A2125">
            <v>44927</v>
          </cell>
          <cell r="B2125" t="str">
            <v>Yousef Alhosani</v>
          </cell>
          <cell r="E2125" t="str">
            <v>KA-AUH</v>
          </cell>
          <cell r="F2125" t="str">
            <v>AM</v>
          </cell>
          <cell r="H2125">
            <v>21</v>
          </cell>
          <cell r="I2125">
            <v>11000</v>
          </cell>
        </row>
        <row r="2126">
          <cell r="A2126">
            <v>44927</v>
          </cell>
          <cell r="B2126" t="str">
            <v>Humaid Almaazmi</v>
          </cell>
          <cell r="E2126" t="str">
            <v>KA-AUH</v>
          </cell>
          <cell r="F2126" t="str">
            <v>AM</v>
          </cell>
          <cell r="H2126">
            <v>54</v>
          </cell>
          <cell r="I2126">
            <v>11000</v>
          </cell>
        </row>
        <row r="2127">
          <cell r="A2127">
            <v>44927</v>
          </cell>
          <cell r="B2127" t="str">
            <v>Abdulla Alhashmi</v>
          </cell>
          <cell r="E2127" t="str">
            <v>KA-AUH</v>
          </cell>
          <cell r="F2127" t="str">
            <v>AM</v>
          </cell>
          <cell r="H2127">
            <v>29</v>
          </cell>
          <cell r="I2127">
            <v>11000</v>
          </cell>
        </row>
        <row r="2128">
          <cell r="A2128">
            <v>44927</v>
          </cell>
          <cell r="B2128" t="str">
            <v>Mazen Adem</v>
          </cell>
          <cell r="E2128" t="str">
            <v>KA</v>
          </cell>
          <cell r="F2128" t="str">
            <v>D</v>
          </cell>
          <cell r="H2128">
            <v>550</v>
          </cell>
          <cell r="I2128">
            <v>130000</v>
          </cell>
        </row>
        <row r="2129">
          <cell r="A2129">
            <v>44927</v>
          </cell>
          <cell r="B2129" t="str">
            <v>Abdel Azim Sharabati</v>
          </cell>
          <cell r="E2129" t="str">
            <v>KA</v>
          </cell>
          <cell r="F2129" t="str">
            <v>AM</v>
          </cell>
          <cell r="H2129">
            <v>80</v>
          </cell>
          <cell r="I2129">
            <v>21000</v>
          </cell>
        </row>
        <row r="2130">
          <cell r="A2130">
            <v>44927</v>
          </cell>
          <cell r="B2130" t="str">
            <v>Abraham Cherian</v>
          </cell>
          <cell r="E2130" t="str">
            <v>KA</v>
          </cell>
          <cell r="F2130" t="str">
            <v>AM</v>
          </cell>
          <cell r="H2130">
            <v>50</v>
          </cell>
          <cell r="I2130">
            <v>20000</v>
          </cell>
        </row>
        <row r="2131">
          <cell r="A2131">
            <v>44927</v>
          </cell>
          <cell r="B2131" t="str">
            <v>Arjun Subaraman</v>
          </cell>
          <cell r="E2131" t="str">
            <v>KA</v>
          </cell>
          <cell r="F2131" t="str">
            <v>AM</v>
          </cell>
          <cell r="H2131">
            <v>140</v>
          </cell>
          <cell r="I2131">
            <v>27000</v>
          </cell>
        </row>
        <row r="2132">
          <cell r="A2132">
            <v>44927</v>
          </cell>
          <cell r="B2132" t="str">
            <v>Ghassan Fouany</v>
          </cell>
          <cell r="E2132" t="str">
            <v>KA</v>
          </cell>
          <cell r="F2132" t="str">
            <v>AM</v>
          </cell>
          <cell r="H2132">
            <v>140</v>
          </cell>
          <cell r="I2132">
            <v>20000</v>
          </cell>
        </row>
        <row r="2133">
          <cell r="A2133">
            <v>44927</v>
          </cell>
          <cell r="B2133" t="str">
            <v>Inayat Fazili</v>
          </cell>
          <cell r="E2133" t="str">
            <v>KA</v>
          </cell>
          <cell r="F2133" t="str">
            <v>AM</v>
          </cell>
          <cell r="H2133">
            <v>65</v>
          </cell>
          <cell r="I2133">
            <v>25000</v>
          </cell>
        </row>
        <row r="2134">
          <cell r="A2134">
            <v>44927</v>
          </cell>
          <cell r="B2134" t="str">
            <v>Mohd Sheikh Salem</v>
          </cell>
          <cell r="E2134" t="str">
            <v>KA</v>
          </cell>
          <cell r="F2134" t="str">
            <v>AM</v>
          </cell>
          <cell r="H2134">
            <v>75</v>
          </cell>
          <cell r="I2134">
            <v>17000</v>
          </cell>
        </row>
        <row r="2135">
          <cell r="A2135">
            <v>44958</v>
          </cell>
          <cell r="B2135" t="str">
            <v>Muhammad Shahzad Hasan</v>
          </cell>
          <cell r="E2135" t="str">
            <v>FCR</v>
          </cell>
          <cell r="F2135" t="str">
            <v>D</v>
          </cell>
          <cell r="H2135">
            <v>1622</v>
          </cell>
          <cell r="I2135">
            <v>309445</v>
          </cell>
        </row>
        <row r="2136">
          <cell r="A2136">
            <v>44958</v>
          </cell>
          <cell r="B2136" t="str">
            <v>Eslam Hassan</v>
          </cell>
          <cell r="E2136" t="str">
            <v>FCR</v>
          </cell>
          <cell r="F2136" t="str">
            <v>AM</v>
          </cell>
          <cell r="H2136">
            <v>90</v>
          </cell>
          <cell r="I2136">
            <v>22000</v>
          </cell>
        </row>
        <row r="2137">
          <cell r="A2137">
            <v>44958</v>
          </cell>
          <cell r="B2137" t="str">
            <v>Farha Hameed</v>
          </cell>
          <cell r="E2137" t="str">
            <v>FCR</v>
          </cell>
          <cell r="F2137" t="str">
            <v>AM</v>
          </cell>
          <cell r="H2137">
            <v>80</v>
          </cell>
          <cell r="I2137">
            <v>25000</v>
          </cell>
        </row>
        <row r="2138">
          <cell r="A2138">
            <v>44958</v>
          </cell>
          <cell r="B2138" t="str">
            <v>Mohamad Labban</v>
          </cell>
          <cell r="E2138" t="str">
            <v>FCR</v>
          </cell>
          <cell r="F2138" t="str">
            <v>AM</v>
          </cell>
          <cell r="H2138">
            <v>80</v>
          </cell>
          <cell r="I2138">
            <v>25000</v>
          </cell>
        </row>
        <row r="2139">
          <cell r="A2139">
            <v>44958</v>
          </cell>
          <cell r="B2139" t="str">
            <v>Mohamed Mostafa</v>
          </cell>
          <cell r="E2139" t="str">
            <v>FCR</v>
          </cell>
          <cell r="F2139" t="str">
            <v>AM</v>
          </cell>
          <cell r="H2139">
            <v>130</v>
          </cell>
          <cell r="I2139">
            <v>18000</v>
          </cell>
        </row>
        <row r="2140">
          <cell r="A2140">
            <v>44958</v>
          </cell>
          <cell r="B2140" t="str">
            <v>Nadeem Rasheed</v>
          </cell>
          <cell r="E2140" t="str">
            <v>FCR</v>
          </cell>
          <cell r="F2140" t="str">
            <v>AM</v>
          </cell>
          <cell r="H2140">
            <v>146</v>
          </cell>
          <cell r="I2140">
            <v>23000</v>
          </cell>
        </row>
        <row r="2141">
          <cell r="A2141">
            <v>44958</v>
          </cell>
          <cell r="B2141" t="str">
            <v>Othman Hassan</v>
          </cell>
          <cell r="E2141" t="str">
            <v>FCR</v>
          </cell>
          <cell r="F2141" t="str">
            <v>AM</v>
          </cell>
          <cell r="H2141">
            <v>95</v>
          </cell>
          <cell r="I2141">
            <v>26000</v>
          </cell>
        </row>
        <row r="2142">
          <cell r="A2142">
            <v>44958</v>
          </cell>
          <cell r="B2142" t="str">
            <v>Ranjith Chandran</v>
          </cell>
          <cell r="E2142" t="str">
            <v>FCR</v>
          </cell>
          <cell r="F2142" t="str">
            <v>AM</v>
          </cell>
          <cell r="H2142">
            <v>146</v>
          </cell>
          <cell r="I2142">
            <v>18000</v>
          </cell>
        </row>
        <row r="2143">
          <cell r="A2143">
            <v>44958</v>
          </cell>
          <cell r="B2143" t="str">
            <v>Richard Chandy</v>
          </cell>
          <cell r="E2143" t="str">
            <v>FCR</v>
          </cell>
          <cell r="F2143" t="str">
            <v>AM</v>
          </cell>
          <cell r="H2143">
            <v>146</v>
          </cell>
          <cell r="I2143">
            <v>18000</v>
          </cell>
        </row>
        <row r="2144">
          <cell r="A2144">
            <v>44958</v>
          </cell>
          <cell r="B2144" t="str">
            <v>Simon Williams</v>
          </cell>
          <cell r="E2144" t="str">
            <v>FCR</v>
          </cell>
          <cell r="F2144" t="str">
            <v>AM</v>
          </cell>
          <cell r="H2144">
            <v>110</v>
          </cell>
          <cell r="I2144">
            <v>25852</v>
          </cell>
        </row>
        <row r="2145">
          <cell r="A2145">
            <v>44958</v>
          </cell>
          <cell r="B2145" t="str">
            <v>Usman Zafar Sipra</v>
          </cell>
          <cell r="E2145" t="str">
            <v>FCR</v>
          </cell>
          <cell r="F2145" t="str">
            <v>AM</v>
          </cell>
          <cell r="H2145">
            <v>120</v>
          </cell>
          <cell r="I2145">
            <v>25000</v>
          </cell>
        </row>
        <row r="2146">
          <cell r="A2146">
            <v>44958</v>
          </cell>
          <cell r="B2146" t="str">
            <v>Peter Sedrak</v>
          </cell>
          <cell r="E2146" t="str">
            <v>FCR</v>
          </cell>
          <cell r="F2146" t="str">
            <v>AM</v>
          </cell>
          <cell r="H2146">
            <v>199</v>
          </cell>
          <cell r="I2146">
            <v>18000</v>
          </cell>
        </row>
        <row r="2147">
          <cell r="A2147">
            <v>44958</v>
          </cell>
          <cell r="B2147" t="str">
            <v>Mohamed Kishk</v>
          </cell>
          <cell r="E2147" t="str">
            <v>FCR</v>
          </cell>
          <cell r="F2147" t="str">
            <v>AM</v>
          </cell>
          <cell r="H2147">
            <v>90</v>
          </cell>
          <cell r="I2147">
            <v>23000</v>
          </cell>
        </row>
        <row r="2148">
          <cell r="A2148">
            <v>44958</v>
          </cell>
          <cell r="B2148" t="str">
            <v>Muhammad Ismail</v>
          </cell>
          <cell r="E2148" t="str">
            <v>FCR</v>
          </cell>
          <cell r="F2148" t="str">
            <v>AM</v>
          </cell>
          <cell r="H2148">
            <v>100</v>
          </cell>
          <cell r="I2148">
            <v>22000</v>
          </cell>
        </row>
        <row r="2149">
          <cell r="A2149">
            <v>44958</v>
          </cell>
          <cell r="B2149" t="str">
            <v>Muhammad AbdullahTahir</v>
          </cell>
          <cell r="E2149" t="str">
            <v>FCR</v>
          </cell>
          <cell r="F2149" t="str">
            <v>AM</v>
          </cell>
          <cell r="H2149">
            <v>90</v>
          </cell>
          <cell r="I2149">
            <v>20593</v>
          </cell>
        </row>
        <row r="2150">
          <cell r="A2150">
            <v>44958</v>
          </cell>
          <cell r="B2150" t="str">
            <v>Maitha Bin Malek</v>
          </cell>
          <cell r="E2150" t="str">
            <v>HHTT</v>
          </cell>
          <cell r="F2150" t="str">
            <v>D</v>
          </cell>
          <cell r="H2150">
            <v>1484</v>
          </cell>
          <cell r="I2150">
            <v>304612.85333333333</v>
          </cell>
        </row>
        <row r="2151">
          <cell r="A2151">
            <v>44958</v>
          </cell>
          <cell r="B2151" t="str">
            <v>Atef Kassem</v>
          </cell>
          <cell r="E2151" t="str">
            <v>HHTT</v>
          </cell>
          <cell r="F2151" t="str">
            <v>AM</v>
          </cell>
          <cell r="H2151">
            <v>55</v>
          </cell>
          <cell r="I2151">
            <v>45000</v>
          </cell>
        </row>
        <row r="2152">
          <cell r="A2152">
            <v>44958</v>
          </cell>
          <cell r="B2152" t="str">
            <v>Bashar Al Adilee</v>
          </cell>
          <cell r="E2152" t="str">
            <v>HHTT</v>
          </cell>
          <cell r="F2152" t="str">
            <v>AM</v>
          </cell>
          <cell r="H2152">
            <v>110</v>
          </cell>
          <cell r="I2152">
            <v>29000</v>
          </cell>
        </row>
        <row r="2153">
          <cell r="A2153">
            <v>44958</v>
          </cell>
          <cell r="B2153" t="str">
            <v>Favas Kurinhilayil</v>
          </cell>
          <cell r="E2153" t="str">
            <v>HHTT</v>
          </cell>
          <cell r="F2153" t="str">
            <v>AM</v>
          </cell>
          <cell r="H2153">
            <v>110</v>
          </cell>
          <cell r="I2153">
            <v>24000</v>
          </cell>
        </row>
        <row r="2154">
          <cell r="A2154">
            <v>44958</v>
          </cell>
          <cell r="B2154" t="str">
            <v>Feroz Shaikh</v>
          </cell>
          <cell r="E2154" t="str">
            <v>HHTT</v>
          </cell>
          <cell r="F2154" t="str">
            <v>AM</v>
          </cell>
          <cell r="H2154">
            <v>110</v>
          </cell>
          <cell r="I2154">
            <v>24000</v>
          </cell>
        </row>
        <row r="2155">
          <cell r="A2155">
            <v>44958</v>
          </cell>
          <cell r="B2155" t="str">
            <v>Junaid Warris</v>
          </cell>
          <cell r="E2155" t="str">
            <v>HHTT</v>
          </cell>
          <cell r="F2155" t="str">
            <v>AM</v>
          </cell>
          <cell r="H2155">
            <v>109</v>
          </cell>
          <cell r="I2155">
            <v>24000</v>
          </cell>
        </row>
        <row r="2156">
          <cell r="A2156">
            <v>44958</v>
          </cell>
          <cell r="B2156" t="str">
            <v>Muhammad Nauman Khan</v>
          </cell>
          <cell r="E2156" t="str">
            <v>HHTT</v>
          </cell>
          <cell r="F2156" t="str">
            <v>AM</v>
          </cell>
          <cell r="H2156">
            <v>110</v>
          </cell>
          <cell r="I2156">
            <v>18000</v>
          </cell>
        </row>
        <row r="2157">
          <cell r="A2157">
            <v>44958</v>
          </cell>
          <cell r="B2157" t="str">
            <v>Mushahid Hussain Syed</v>
          </cell>
          <cell r="E2157" t="str">
            <v>HHTT</v>
          </cell>
          <cell r="F2157" t="str">
            <v>AM</v>
          </cell>
          <cell r="H2157">
            <v>80</v>
          </cell>
          <cell r="I2157">
            <v>17613</v>
          </cell>
        </row>
        <row r="2158">
          <cell r="A2158">
            <v>44958</v>
          </cell>
          <cell r="B2158" t="str">
            <v>Osama ElWawi</v>
          </cell>
          <cell r="E2158" t="str">
            <v>HHTT</v>
          </cell>
          <cell r="F2158" t="str">
            <v>AM</v>
          </cell>
          <cell r="H2158">
            <v>120</v>
          </cell>
          <cell r="I2158">
            <v>23000</v>
          </cell>
        </row>
        <row r="2159">
          <cell r="A2159">
            <v>44958</v>
          </cell>
          <cell r="B2159" t="str">
            <v>Ramez Al Alami</v>
          </cell>
          <cell r="E2159" t="str">
            <v>HHTT</v>
          </cell>
          <cell r="F2159" t="str">
            <v>AM</v>
          </cell>
          <cell r="H2159">
            <v>200</v>
          </cell>
          <cell r="I2159">
            <v>20000</v>
          </cell>
        </row>
        <row r="2160">
          <cell r="A2160">
            <v>44958</v>
          </cell>
          <cell r="B2160" t="str">
            <v>Ramy Abdel Fattah</v>
          </cell>
          <cell r="E2160" t="str">
            <v>HHTT</v>
          </cell>
          <cell r="F2160" t="str">
            <v>AM</v>
          </cell>
          <cell r="H2160">
            <v>95</v>
          </cell>
          <cell r="I2160">
            <v>28000</v>
          </cell>
        </row>
        <row r="2161">
          <cell r="A2161">
            <v>44958</v>
          </cell>
          <cell r="B2161" t="str">
            <v>Wasim Raja</v>
          </cell>
          <cell r="E2161" t="str">
            <v>HHTT</v>
          </cell>
          <cell r="F2161" t="str">
            <v>AM</v>
          </cell>
          <cell r="H2161">
            <v>80</v>
          </cell>
          <cell r="I2161">
            <v>18000</v>
          </cell>
        </row>
        <row r="2162">
          <cell r="A2162">
            <v>44958</v>
          </cell>
          <cell r="B2162" t="str">
            <v>Ubaid Ahanger</v>
          </cell>
          <cell r="E2162" t="str">
            <v>HHTT</v>
          </cell>
          <cell r="F2162" t="str">
            <v>AM</v>
          </cell>
          <cell r="H2162">
            <v>65</v>
          </cell>
          <cell r="I2162">
            <v>16000</v>
          </cell>
        </row>
        <row r="2163">
          <cell r="A2163">
            <v>44958</v>
          </cell>
          <cell r="B2163" t="str">
            <v>Khalid Mohammed</v>
          </cell>
          <cell r="E2163" t="str">
            <v>HHTT</v>
          </cell>
          <cell r="F2163" t="str">
            <v>AM</v>
          </cell>
          <cell r="H2163">
            <v>240</v>
          </cell>
          <cell r="I2163">
            <v>18000</v>
          </cell>
        </row>
        <row r="2164">
          <cell r="A2164">
            <v>44958</v>
          </cell>
          <cell r="B2164" t="str">
            <v>Imran Malik</v>
          </cell>
          <cell r="E2164" t="str">
            <v>RCOGM</v>
          </cell>
          <cell r="F2164" t="str">
            <v>D</v>
          </cell>
          <cell r="H2164">
            <v>1664</v>
          </cell>
          <cell r="I2164">
            <v>238432</v>
          </cell>
        </row>
        <row r="2165">
          <cell r="A2165">
            <v>44958</v>
          </cell>
          <cell r="B2165" t="str">
            <v>AlMas Zaheer</v>
          </cell>
          <cell r="E2165" t="str">
            <v>RCOGM</v>
          </cell>
          <cell r="F2165" t="str">
            <v>AM</v>
          </cell>
          <cell r="H2165">
            <v>95</v>
          </cell>
          <cell r="I2165">
            <v>16972</v>
          </cell>
        </row>
        <row r="2166">
          <cell r="A2166">
            <v>44958</v>
          </cell>
          <cell r="B2166" t="str">
            <v>Shiraz Niazi</v>
          </cell>
          <cell r="E2166" t="str">
            <v>RCOGM</v>
          </cell>
          <cell r="F2166" t="str">
            <v>AM</v>
          </cell>
          <cell r="H2166">
            <v>95</v>
          </cell>
          <cell r="I2166">
            <v>16972</v>
          </cell>
        </row>
        <row r="2167">
          <cell r="A2167">
            <v>44958</v>
          </cell>
          <cell r="B2167" t="str">
            <v>Adnan Bashir</v>
          </cell>
          <cell r="E2167" t="str">
            <v>RCOGM</v>
          </cell>
          <cell r="F2167" t="str">
            <v>AM</v>
          </cell>
          <cell r="H2167">
            <v>95</v>
          </cell>
          <cell r="I2167">
            <v>6972</v>
          </cell>
        </row>
        <row r="2168">
          <cell r="A2168">
            <v>44958</v>
          </cell>
          <cell r="B2168" t="str">
            <v>Aijaz Darzi</v>
          </cell>
          <cell r="E2168" t="str">
            <v>RCOGM</v>
          </cell>
          <cell r="F2168" t="str">
            <v>AM</v>
          </cell>
          <cell r="H2168">
            <v>60</v>
          </cell>
          <cell r="I2168">
            <v>11740</v>
          </cell>
        </row>
        <row r="2169">
          <cell r="A2169">
            <v>44958</v>
          </cell>
          <cell r="B2169" t="str">
            <v>Ali Alzarooni</v>
          </cell>
          <cell r="E2169" t="str">
            <v>RCOGM</v>
          </cell>
          <cell r="F2169" t="str">
            <v>AM</v>
          </cell>
          <cell r="H2169">
            <v>95</v>
          </cell>
          <cell r="I2169">
            <v>16972</v>
          </cell>
        </row>
        <row r="2170">
          <cell r="A2170">
            <v>44958</v>
          </cell>
          <cell r="B2170" t="str">
            <v>Ali Shahin</v>
          </cell>
          <cell r="E2170" t="str">
            <v>RCOGM</v>
          </cell>
          <cell r="F2170" t="str">
            <v>AM</v>
          </cell>
          <cell r="H2170">
            <v>125</v>
          </cell>
          <cell r="I2170">
            <v>26972</v>
          </cell>
        </row>
        <row r="2171">
          <cell r="A2171">
            <v>44958</v>
          </cell>
          <cell r="B2171" t="str">
            <v>Ammar Aladily</v>
          </cell>
          <cell r="E2171" t="str">
            <v>RCOGM</v>
          </cell>
          <cell r="F2171" t="str">
            <v>AM</v>
          </cell>
          <cell r="H2171">
            <v>594</v>
          </cell>
          <cell r="I2171">
            <v>46972</v>
          </cell>
        </row>
        <row r="2172">
          <cell r="A2172">
            <v>44958</v>
          </cell>
          <cell r="B2172" t="str">
            <v>Ayaz Zargar</v>
          </cell>
          <cell r="E2172" t="str">
            <v>RCOGM</v>
          </cell>
          <cell r="F2172" t="str">
            <v>AM</v>
          </cell>
          <cell r="H2172">
            <v>95</v>
          </cell>
          <cell r="I2172">
            <v>16972</v>
          </cell>
        </row>
        <row r="2173">
          <cell r="A2173">
            <v>44958</v>
          </cell>
          <cell r="B2173" t="str">
            <v>Danish Shabir</v>
          </cell>
          <cell r="E2173" t="str">
            <v>RCOGM</v>
          </cell>
          <cell r="F2173" t="str">
            <v>AM</v>
          </cell>
          <cell r="H2173">
            <v>95</v>
          </cell>
          <cell r="I2173">
            <v>16972</v>
          </cell>
        </row>
        <row r="2174">
          <cell r="A2174">
            <v>44958</v>
          </cell>
          <cell r="B2174" t="str">
            <v>Sana Shaikh</v>
          </cell>
          <cell r="E2174" t="str">
            <v>RCOGM</v>
          </cell>
          <cell r="F2174" t="str">
            <v>AM</v>
          </cell>
          <cell r="H2174">
            <v>95</v>
          </cell>
          <cell r="I2174">
            <v>16972</v>
          </cell>
        </row>
        <row r="2175">
          <cell r="A2175">
            <v>44958</v>
          </cell>
          <cell r="B2175" t="str">
            <v>Shabbir Lacewala</v>
          </cell>
          <cell r="E2175" t="str">
            <v>RCOGM</v>
          </cell>
          <cell r="F2175" t="str">
            <v>AM</v>
          </cell>
          <cell r="H2175">
            <v>125</v>
          </cell>
          <cell r="I2175">
            <v>26972</v>
          </cell>
        </row>
        <row r="2176">
          <cell r="A2176">
            <v>44958</v>
          </cell>
          <cell r="B2176" t="str">
            <v>Shadab Sheikh</v>
          </cell>
          <cell r="E2176" t="str">
            <v>RCOGM</v>
          </cell>
          <cell r="F2176" t="str">
            <v>AM</v>
          </cell>
          <cell r="H2176">
            <v>95</v>
          </cell>
          <cell r="I2176">
            <v>16972</v>
          </cell>
        </row>
        <row r="2177">
          <cell r="A2177">
            <v>44958</v>
          </cell>
          <cell r="B2177" t="str">
            <v>Hany Jawee</v>
          </cell>
          <cell r="E2177" t="str">
            <v>TME</v>
          </cell>
          <cell r="F2177" t="str">
            <v>D</v>
          </cell>
          <cell r="H2177">
            <v>1430</v>
          </cell>
          <cell r="I2177">
            <v>312510</v>
          </cell>
        </row>
        <row r="2178">
          <cell r="A2178">
            <v>44958</v>
          </cell>
          <cell r="B2178" t="str">
            <v>Ahmad Ozdamir</v>
          </cell>
          <cell r="E2178" t="str">
            <v>TME</v>
          </cell>
          <cell r="F2178" t="str">
            <v>AM</v>
          </cell>
          <cell r="H2178">
            <v>115</v>
          </cell>
          <cell r="I2178">
            <v>22769</v>
          </cell>
        </row>
        <row r="2179">
          <cell r="A2179">
            <v>44958</v>
          </cell>
          <cell r="B2179" t="str">
            <v>Ahmed AlShehhi</v>
          </cell>
          <cell r="E2179" t="str">
            <v>TME</v>
          </cell>
          <cell r="F2179" t="str">
            <v>AM</v>
          </cell>
          <cell r="H2179">
            <v>90</v>
          </cell>
          <cell r="I2179">
            <v>18769</v>
          </cell>
        </row>
        <row r="2180">
          <cell r="A2180">
            <v>44958</v>
          </cell>
          <cell r="B2180" t="str">
            <v>Amjad Ilwan</v>
          </cell>
          <cell r="E2180" t="str">
            <v>TME</v>
          </cell>
          <cell r="F2180" t="str">
            <v>AM</v>
          </cell>
          <cell r="H2180">
            <v>115</v>
          </cell>
          <cell r="I2180">
            <v>22769</v>
          </cell>
        </row>
        <row r="2181">
          <cell r="A2181">
            <v>44958</v>
          </cell>
          <cell r="B2181" t="str">
            <v>Anastasia Maltseva</v>
          </cell>
          <cell r="E2181" t="str">
            <v>TME</v>
          </cell>
          <cell r="F2181" t="str">
            <v>AM</v>
          </cell>
          <cell r="H2181">
            <v>90</v>
          </cell>
          <cell r="I2181">
            <v>18769</v>
          </cell>
        </row>
        <row r="2182">
          <cell r="A2182">
            <v>44958</v>
          </cell>
          <cell r="B2182" t="str">
            <v>Buhari Buhari</v>
          </cell>
          <cell r="E2182" t="str">
            <v>TME</v>
          </cell>
          <cell r="F2182" t="str">
            <v>AM</v>
          </cell>
          <cell r="H2182">
            <v>90</v>
          </cell>
          <cell r="I2182">
            <v>18769</v>
          </cell>
        </row>
        <row r="2183">
          <cell r="A2183">
            <v>44958</v>
          </cell>
          <cell r="B2183" t="str">
            <v>Ehab Hajou</v>
          </cell>
          <cell r="E2183" t="str">
            <v>TME</v>
          </cell>
          <cell r="F2183" t="str">
            <v>AM</v>
          </cell>
          <cell r="H2183">
            <v>132</v>
          </cell>
          <cell r="I2183">
            <v>27972</v>
          </cell>
        </row>
        <row r="2184">
          <cell r="A2184">
            <v>44958</v>
          </cell>
          <cell r="B2184" t="str">
            <v>Fadi Saleh</v>
          </cell>
          <cell r="E2184" t="str">
            <v>TME</v>
          </cell>
          <cell r="F2184" t="str">
            <v>AM</v>
          </cell>
          <cell r="H2184">
            <v>90</v>
          </cell>
          <cell r="I2184">
            <v>26842</v>
          </cell>
        </row>
        <row r="2185">
          <cell r="A2185">
            <v>44958</v>
          </cell>
          <cell r="B2185" t="str">
            <v>Jeevantha Ranasinghe</v>
          </cell>
          <cell r="E2185" t="str">
            <v>TME</v>
          </cell>
          <cell r="F2185" t="str">
            <v>AM</v>
          </cell>
          <cell r="H2185">
            <v>132</v>
          </cell>
          <cell r="I2185">
            <v>26842</v>
          </cell>
        </row>
        <row r="2186">
          <cell r="A2186">
            <v>44958</v>
          </cell>
          <cell r="B2186" t="str">
            <v>Sara Alblooshi</v>
          </cell>
          <cell r="E2186" t="str">
            <v>TME</v>
          </cell>
          <cell r="F2186" t="str">
            <v>AM</v>
          </cell>
          <cell r="H2186">
            <v>90</v>
          </cell>
          <cell r="I2186">
            <v>18769</v>
          </cell>
        </row>
        <row r="2187">
          <cell r="A2187">
            <v>44958</v>
          </cell>
          <cell r="B2187" t="str">
            <v>Suleiman Wanni</v>
          </cell>
          <cell r="E2187" t="str">
            <v>TME</v>
          </cell>
          <cell r="F2187" t="str">
            <v>AM</v>
          </cell>
          <cell r="H2187">
            <v>132</v>
          </cell>
          <cell r="I2187">
            <v>26842</v>
          </cell>
        </row>
        <row r="2188">
          <cell r="A2188">
            <v>44958</v>
          </cell>
          <cell r="B2188" t="str">
            <v>Waseem Suhaf</v>
          </cell>
          <cell r="E2188" t="str">
            <v>TME</v>
          </cell>
          <cell r="F2188" t="str">
            <v>AM</v>
          </cell>
          <cell r="H2188">
            <v>132</v>
          </cell>
          <cell r="I2188">
            <v>26842</v>
          </cell>
        </row>
        <row r="2189">
          <cell r="A2189">
            <v>44958</v>
          </cell>
          <cell r="B2189" t="str">
            <v>Iqbal Hussain</v>
          </cell>
          <cell r="E2189" t="str">
            <v>TME</v>
          </cell>
          <cell r="F2189" t="str">
            <v>AM</v>
          </cell>
          <cell r="H2189">
            <v>90</v>
          </cell>
          <cell r="I2189">
            <v>18769</v>
          </cell>
        </row>
        <row r="2190">
          <cell r="A2190">
            <v>44958</v>
          </cell>
          <cell r="B2190" t="str">
            <v>Rijith Menon</v>
          </cell>
          <cell r="E2190" t="str">
            <v>TME</v>
          </cell>
          <cell r="F2190" t="str">
            <v>AM</v>
          </cell>
          <cell r="H2190">
            <v>132</v>
          </cell>
          <cell r="I2190">
            <v>37787</v>
          </cell>
        </row>
        <row r="2191">
          <cell r="A2191">
            <v>44958</v>
          </cell>
          <cell r="B2191" t="str">
            <v>Mohamad Amer Sibai</v>
          </cell>
          <cell r="E2191" t="str">
            <v>DXB</v>
          </cell>
          <cell r="F2191" t="str">
            <v>D</v>
          </cell>
          <cell r="H2191">
            <v>200</v>
          </cell>
          <cell r="I2191">
            <v>100000</v>
          </cell>
        </row>
        <row r="2192">
          <cell r="A2192">
            <v>44958</v>
          </cell>
          <cell r="B2192" t="str">
            <v>Mohamed Mady</v>
          </cell>
          <cell r="E2192" t="str">
            <v>DXB</v>
          </cell>
          <cell r="F2192" t="str">
            <v>AM</v>
          </cell>
          <cell r="H2192">
            <v>50</v>
          </cell>
          <cell r="I2192">
            <v>23000</v>
          </cell>
        </row>
        <row r="2193">
          <cell r="A2193">
            <v>44958</v>
          </cell>
          <cell r="B2193" t="str">
            <v>Ramzi Gholmieh</v>
          </cell>
          <cell r="E2193" t="str">
            <v>DXB</v>
          </cell>
          <cell r="F2193" t="str">
            <v>AM</v>
          </cell>
          <cell r="H2193">
            <v>50</v>
          </cell>
          <cell r="I2193">
            <v>30000</v>
          </cell>
        </row>
        <row r="2194">
          <cell r="A2194">
            <v>44958</v>
          </cell>
          <cell r="B2194" t="str">
            <v>Tariq AlAwadhi</v>
          </cell>
          <cell r="E2194" t="str">
            <v>DXB</v>
          </cell>
          <cell r="F2194" t="str">
            <v>AM</v>
          </cell>
          <cell r="H2194">
            <v>50</v>
          </cell>
          <cell r="I2194">
            <v>21000</v>
          </cell>
        </row>
        <row r="2195">
          <cell r="A2195">
            <v>44958</v>
          </cell>
          <cell r="B2195" t="str">
            <v>Talal Ahmed Ali Alsharhan</v>
          </cell>
          <cell r="E2195" t="str">
            <v>DXB</v>
          </cell>
          <cell r="F2195" t="str">
            <v>AM</v>
          </cell>
          <cell r="H2195">
            <v>50</v>
          </cell>
          <cell r="I2195">
            <v>26000</v>
          </cell>
        </row>
        <row r="2196">
          <cell r="A2196">
            <v>44958</v>
          </cell>
          <cell r="B2196" t="str">
            <v>Khaled Alawadi</v>
          </cell>
          <cell r="E2196" t="str">
            <v>F-NE</v>
          </cell>
          <cell r="F2196" t="str">
            <v>D</v>
          </cell>
          <cell r="H2196">
            <v>100</v>
          </cell>
          <cell r="I2196">
            <v>50000</v>
          </cell>
        </row>
        <row r="2197">
          <cell r="A2197">
            <v>44958</v>
          </cell>
          <cell r="B2197" t="str">
            <v>Bader Al Shehhi</v>
          </cell>
          <cell r="E2197" t="str">
            <v>F-NE</v>
          </cell>
          <cell r="F2197" t="str">
            <v>AM</v>
          </cell>
          <cell r="H2197">
            <v>15</v>
          </cell>
          <cell r="I2197">
            <v>22500</v>
          </cell>
        </row>
        <row r="2198">
          <cell r="A2198">
            <v>44958</v>
          </cell>
          <cell r="B2198" t="str">
            <v>Majd Nairoukh</v>
          </cell>
          <cell r="E2198" t="str">
            <v>F-NE</v>
          </cell>
          <cell r="F2198" t="str">
            <v>AM</v>
          </cell>
          <cell r="H2198">
            <v>15</v>
          </cell>
          <cell r="I2198">
            <v>10000</v>
          </cell>
        </row>
        <row r="2199">
          <cell r="A2199">
            <v>44958</v>
          </cell>
          <cell r="B2199" t="str">
            <v>Nader AlMustafa</v>
          </cell>
          <cell r="E2199" t="str">
            <v>F-NE</v>
          </cell>
          <cell r="F2199" t="str">
            <v>AM</v>
          </cell>
          <cell r="H2199">
            <v>55</v>
          </cell>
          <cell r="I2199">
            <v>7500</v>
          </cell>
        </row>
        <row r="2200">
          <cell r="A2200">
            <v>44958</v>
          </cell>
          <cell r="B2200" t="str">
            <v>Yousef Al Baloushi</v>
          </cell>
          <cell r="E2200" t="str">
            <v>F-NE</v>
          </cell>
          <cell r="F2200" t="str">
            <v>AM</v>
          </cell>
          <cell r="H2200">
            <v>15</v>
          </cell>
          <cell r="I2200">
            <v>10000</v>
          </cell>
        </row>
        <row r="2201">
          <cell r="A2201">
            <v>44958</v>
          </cell>
          <cell r="B2201" t="str">
            <v>Khalid Karmastaji</v>
          </cell>
          <cell r="E2201" t="str">
            <v>KA-AUH</v>
          </cell>
          <cell r="F2201" t="str">
            <v>D</v>
          </cell>
          <cell r="H2201">
            <v>350</v>
          </cell>
          <cell r="I2201">
            <v>200000</v>
          </cell>
        </row>
        <row r="2202">
          <cell r="A2202">
            <v>44958</v>
          </cell>
          <cell r="B2202" t="str">
            <v>Ammar Alqudsi</v>
          </cell>
          <cell r="E2202" t="str">
            <v>KA-AUH</v>
          </cell>
          <cell r="F2202" t="str">
            <v>AM</v>
          </cell>
          <cell r="H2202">
            <v>40</v>
          </cell>
          <cell r="I2202">
            <v>11000</v>
          </cell>
        </row>
        <row r="2203">
          <cell r="A2203">
            <v>44958</v>
          </cell>
          <cell r="B2203" t="str">
            <v>Osman Basuleman</v>
          </cell>
          <cell r="E2203" t="str">
            <v>KA-AUH</v>
          </cell>
          <cell r="F2203" t="str">
            <v>AM</v>
          </cell>
          <cell r="H2203">
            <v>40</v>
          </cell>
          <cell r="I2203">
            <v>70000</v>
          </cell>
        </row>
        <row r="2204">
          <cell r="A2204">
            <v>44958</v>
          </cell>
          <cell r="B2204" t="str">
            <v>Tarek Solh</v>
          </cell>
          <cell r="E2204" t="str">
            <v>KA-AUH</v>
          </cell>
          <cell r="F2204" t="str">
            <v>AM</v>
          </cell>
          <cell r="H2204">
            <v>80</v>
          </cell>
          <cell r="I2204">
            <v>70000</v>
          </cell>
        </row>
        <row r="2205">
          <cell r="A2205">
            <v>44958</v>
          </cell>
          <cell r="B2205" t="str">
            <v>Khamis Almakrani</v>
          </cell>
          <cell r="E2205" t="str">
            <v>KA-AUH</v>
          </cell>
          <cell r="F2205" t="str">
            <v>AM</v>
          </cell>
          <cell r="H2205">
            <v>40</v>
          </cell>
          <cell r="I2205">
            <v>9000</v>
          </cell>
        </row>
        <row r="2206">
          <cell r="A2206">
            <v>44958</v>
          </cell>
          <cell r="B2206" t="str">
            <v>Omar AlHammadi</v>
          </cell>
          <cell r="E2206" t="str">
            <v>KA-AUH</v>
          </cell>
          <cell r="F2206" t="str">
            <v>AM</v>
          </cell>
          <cell r="H2206">
            <v>40</v>
          </cell>
          <cell r="I2206">
            <v>10000</v>
          </cell>
        </row>
        <row r="2207">
          <cell r="A2207">
            <v>44958</v>
          </cell>
          <cell r="B2207" t="str">
            <v>Yousef Alhosani</v>
          </cell>
          <cell r="E2207" t="str">
            <v>KA-AUH</v>
          </cell>
          <cell r="F2207" t="str">
            <v>AM</v>
          </cell>
          <cell r="H2207">
            <v>40</v>
          </cell>
          <cell r="I2207">
            <v>10000</v>
          </cell>
        </row>
        <row r="2208">
          <cell r="A2208">
            <v>44958</v>
          </cell>
          <cell r="B2208" t="str">
            <v>Humaid Almaazmi</v>
          </cell>
          <cell r="E2208" t="str">
            <v>KA-AUH</v>
          </cell>
          <cell r="F2208" t="str">
            <v>AM</v>
          </cell>
          <cell r="H2208">
            <v>40</v>
          </cell>
          <cell r="I2208">
            <v>11000</v>
          </cell>
        </row>
        <row r="2209">
          <cell r="A2209">
            <v>44958</v>
          </cell>
          <cell r="B2209" t="str">
            <v>Abdulla Alhashmi</v>
          </cell>
          <cell r="E2209" t="str">
            <v>KA-AUH</v>
          </cell>
          <cell r="F2209" t="str">
            <v>AM</v>
          </cell>
          <cell r="H2209">
            <v>30</v>
          </cell>
          <cell r="I2209">
            <v>9000</v>
          </cell>
        </row>
        <row r="2210">
          <cell r="A2210">
            <v>44958</v>
          </cell>
          <cell r="B2210" t="str">
            <v>Mazen Adem</v>
          </cell>
          <cell r="E2210" t="str">
            <v>KA</v>
          </cell>
          <cell r="F2210" t="str">
            <v>D</v>
          </cell>
          <cell r="H2210">
            <v>550</v>
          </cell>
          <cell r="I2210">
            <v>100000</v>
          </cell>
        </row>
        <row r="2211">
          <cell r="A2211">
            <v>44958</v>
          </cell>
          <cell r="B2211" t="str">
            <v>Abdel Azim Sharabati</v>
          </cell>
          <cell r="E2211" t="str">
            <v>KA</v>
          </cell>
          <cell r="F2211" t="str">
            <v>AM</v>
          </cell>
          <cell r="H2211">
            <v>60</v>
          </cell>
          <cell r="I2211">
            <v>20000</v>
          </cell>
        </row>
        <row r="2212">
          <cell r="A2212">
            <v>44958</v>
          </cell>
          <cell r="B2212" t="str">
            <v>Abraham Cherian</v>
          </cell>
          <cell r="E2212" t="str">
            <v>KA</v>
          </cell>
          <cell r="F2212" t="str">
            <v>AM</v>
          </cell>
          <cell r="H2212">
            <v>100</v>
          </cell>
          <cell r="I2212">
            <v>15000</v>
          </cell>
        </row>
        <row r="2213">
          <cell r="A2213">
            <v>44958</v>
          </cell>
          <cell r="B2213" t="str">
            <v>Arjun Subaraman</v>
          </cell>
          <cell r="E2213" t="str">
            <v>KA</v>
          </cell>
          <cell r="F2213" t="str">
            <v>AM</v>
          </cell>
          <cell r="H2213">
            <v>50</v>
          </cell>
          <cell r="I2213">
            <v>29000</v>
          </cell>
        </row>
        <row r="2214">
          <cell r="A2214">
            <v>44958</v>
          </cell>
          <cell r="B2214" t="str">
            <v>Ghassan Fouany</v>
          </cell>
          <cell r="E2214" t="str">
            <v>KA</v>
          </cell>
          <cell r="F2214" t="str">
            <v>AM</v>
          </cell>
          <cell r="H2214">
            <v>110</v>
          </cell>
          <cell r="I2214">
            <v>12000</v>
          </cell>
        </row>
        <row r="2215">
          <cell r="A2215">
            <v>44958</v>
          </cell>
          <cell r="B2215" t="str">
            <v>Inayat Fazili</v>
          </cell>
          <cell r="E2215" t="str">
            <v>KA</v>
          </cell>
          <cell r="F2215" t="str">
            <v>AM</v>
          </cell>
          <cell r="H2215">
            <v>70</v>
          </cell>
          <cell r="I2215">
            <v>12000</v>
          </cell>
        </row>
        <row r="2216">
          <cell r="A2216">
            <v>44958</v>
          </cell>
          <cell r="B2216" t="str">
            <v>Mohd Sheikh Salem</v>
          </cell>
          <cell r="E2216" t="str">
            <v>KA</v>
          </cell>
          <cell r="F2216" t="str">
            <v>AM</v>
          </cell>
          <cell r="H2216">
            <v>160</v>
          </cell>
          <cell r="I2216">
            <v>12000</v>
          </cell>
        </row>
        <row r="2217">
          <cell r="A2217">
            <v>44986</v>
          </cell>
          <cell r="B2217" t="str">
            <v>Muhammad Shahzad Hasan</v>
          </cell>
          <cell r="E2217" t="str">
            <v>FCR</v>
          </cell>
          <cell r="F2217" t="str">
            <v>D</v>
          </cell>
          <cell r="H2217">
            <v>1895</v>
          </cell>
          <cell r="I2217">
            <v>299445</v>
          </cell>
        </row>
        <row r="2218">
          <cell r="A2218">
            <v>44986</v>
          </cell>
          <cell r="B2218" t="str">
            <v>Eslam Hassan</v>
          </cell>
          <cell r="E2218" t="str">
            <v>FCR</v>
          </cell>
          <cell r="F2218" t="str">
            <v>AM</v>
          </cell>
          <cell r="H2218">
            <v>150</v>
          </cell>
          <cell r="I2218">
            <v>23100</v>
          </cell>
        </row>
        <row r="2219">
          <cell r="A2219">
            <v>44986</v>
          </cell>
          <cell r="B2219" t="str">
            <v>Farha Hameed</v>
          </cell>
          <cell r="E2219" t="str">
            <v>FCR</v>
          </cell>
          <cell r="F2219" t="str">
            <v>AM</v>
          </cell>
          <cell r="H2219">
            <v>50</v>
          </cell>
          <cell r="I2219">
            <v>12000</v>
          </cell>
        </row>
        <row r="2220">
          <cell r="A2220">
            <v>44986</v>
          </cell>
          <cell r="B2220" t="str">
            <v>Mohamad Labban</v>
          </cell>
          <cell r="E2220" t="str">
            <v>FCR</v>
          </cell>
          <cell r="F2220" t="str">
            <v>AM</v>
          </cell>
          <cell r="H2220">
            <v>60</v>
          </cell>
          <cell r="I2220">
            <v>43000</v>
          </cell>
        </row>
        <row r="2221">
          <cell r="A2221">
            <v>44986</v>
          </cell>
          <cell r="B2221" t="str">
            <v>Mohamed Mostafa</v>
          </cell>
          <cell r="E2221" t="str">
            <v>FCR</v>
          </cell>
          <cell r="F2221" t="str">
            <v>AM</v>
          </cell>
          <cell r="H2221">
            <v>146</v>
          </cell>
          <cell r="I2221">
            <v>23100</v>
          </cell>
        </row>
        <row r="2222">
          <cell r="A2222">
            <v>44986</v>
          </cell>
          <cell r="B2222" t="str">
            <v>Nadeem Rasheed</v>
          </cell>
          <cell r="E2222" t="str">
            <v>FCR</v>
          </cell>
          <cell r="F2222" t="str">
            <v>AM</v>
          </cell>
          <cell r="H2222">
            <v>300</v>
          </cell>
          <cell r="I2222">
            <v>20000</v>
          </cell>
        </row>
        <row r="2223">
          <cell r="A2223">
            <v>44986</v>
          </cell>
          <cell r="B2223" t="str">
            <v>Othman Hassan</v>
          </cell>
          <cell r="E2223" t="str">
            <v>FCR</v>
          </cell>
          <cell r="F2223" t="str">
            <v>AM</v>
          </cell>
          <cell r="H2223">
            <v>110</v>
          </cell>
          <cell r="I2223">
            <v>20000</v>
          </cell>
        </row>
        <row r="2224">
          <cell r="A2224">
            <v>44986</v>
          </cell>
          <cell r="B2224" t="str">
            <v>Ranjith Chandran</v>
          </cell>
          <cell r="E2224" t="str">
            <v>FCR</v>
          </cell>
          <cell r="F2224" t="str">
            <v>AM</v>
          </cell>
          <cell r="H2224">
            <v>130</v>
          </cell>
          <cell r="I2224">
            <v>22200</v>
          </cell>
        </row>
        <row r="2225">
          <cell r="A2225">
            <v>44986</v>
          </cell>
          <cell r="B2225" t="str">
            <v>Richard Chandy</v>
          </cell>
          <cell r="E2225" t="str">
            <v>FCR</v>
          </cell>
          <cell r="F2225" t="str">
            <v>AM</v>
          </cell>
          <cell r="H2225">
            <v>110</v>
          </cell>
          <cell r="I2225">
            <v>25000</v>
          </cell>
        </row>
        <row r="2226">
          <cell r="A2226">
            <v>44986</v>
          </cell>
          <cell r="B2226" t="str">
            <v>Simon Williams</v>
          </cell>
          <cell r="E2226" t="str">
            <v>FCR</v>
          </cell>
          <cell r="F2226" t="str">
            <v>AM</v>
          </cell>
          <cell r="H2226">
            <v>120</v>
          </cell>
          <cell r="I2226">
            <v>26000</v>
          </cell>
        </row>
        <row r="2227">
          <cell r="A2227">
            <v>44986</v>
          </cell>
          <cell r="B2227" t="str">
            <v>Usman Zafar Sipra</v>
          </cell>
          <cell r="E2227" t="str">
            <v>FCR</v>
          </cell>
          <cell r="F2227" t="str">
            <v>AM</v>
          </cell>
          <cell r="H2227">
            <v>120</v>
          </cell>
          <cell r="I2227">
            <v>15000</v>
          </cell>
        </row>
        <row r="2228">
          <cell r="A2228">
            <v>44986</v>
          </cell>
          <cell r="B2228" t="str">
            <v>Peter Sedrak</v>
          </cell>
          <cell r="E2228" t="str">
            <v>FCR</v>
          </cell>
          <cell r="F2228" t="str">
            <v>AM</v>
          </cell>
          <cell r="H2228">
            <v>139</v>
          </cell>
          <cell r="I2228">
            <v>15000</v>
          </cell>
        </row>
        <row r="2229">
          <cell r="A2229">
            <v>44986</v>
          </cell>
          <cell r="B2229" t="str">
            <v>Mohamed Kishk</v>
          </cell>
          <cell r="E2229" t="str">
            <v>FCR</v>
          </cell>
          <cell r="F2229" t="str">
            <v>AM</v>
          </cell>
          <cell r="H2229">
            <v>140</v>
          </cell>
          <cell r="I2229">
            <v>25000</v>
          </cell>
        </row>
        <row r="2230">
          <cell r="A2230">
            <v>44986</v>
          </cell>
          <cell r="B2230" t="str">
            <v>Muhammad Ismail</v>
          </cell>
          <cell r="E2230" t="str">
            <v>FCR</v>
          </cell>
          <cell r="F2230" t="str">
            <v>AM</v>
          </cell>
          <cell r="H2230">
            <v>200</v>
          </cell>
          <cell r="I2230">
            <v>15000</v>
          </cell>
        </row>
        <row r="2231">
          <cell r="A2231">
            <v>44986</v>
          </cell>
          <cell r="B2231" t="str">
            <v>Muhammad AbdullahTahir</v>
          </cell>
          <cell r="E2231" t="str">
            <v>FCR</v>
          </cell>
          <cell r="F2231" t="str">
            <v>AM</v>
          </cell>
          <cell r="H2231">
            <v>120</v>
          </cell>
          <cell r="I2231">
            <v>15045</v>
          </cell>
        </row>
        <row r="2232">
          <cell r="A2232">
            <v>44986</v>
          </cell>
          <cell r="B2232" t="str">
            <v>Maitha Bin Malek</v>
          </cell>
          <cell r="E2232" t="str">
            <v>HHTT</v>
          </cell>
          <cell r="F2232" t="str">
            <v>D</v>
          </cell>
          <cell r="H2232">
            <v>1484</v>
          </cell>
          <cell r="I2232">
            <v>324612.85333333333</v>
          </cell>
        </row>
        <row r="2233">
          <cell r="A2233">
            <v>44986</v>
          </cell>
          <cell r="B2233" t="str">
            <v>Atef Kassem</v>
          </cell>
          <cell r="E2233" t="str">
            <v>HHTT</v>
          </cell>
          <cell r="F2233" t="str">
            <v>AM</v>
          </cell>
          <cell r="H2233">
            <v>50</v>
          </cell>
          <cell r="I2233">
            <v>12613</v>
          </cell>
        </row>
        <row r="2234">
          <cell r="A2234">
            <v>44986</v>
          </cell>
          <cell r="B2234" t="str">
            <v>Bashar Al Adilee</v>
          </cell>
          <cell r="E2234" t="str">
            <v>HHTT</v>
          </cell>
          <cell r="F2234" t="str">
            <v>AM</v>
          </cell>
          <cell r="H2234">
            <v>150</v>
          </cell>
          <cell r="I2234">
            <v>25000</v>
          </cell>
        </row>
        <row r="2235">
          <cell r="A2235">
            <v>44986</v>
          </cell>
          <cell r="B2235" t="str">
            <v>Favas Kurinhilayil</v>
          </cell>
          <cell r="E2235" t="str">
            <v>HHTT</v>
          </cell>
          <cell r="F2235" t="str">
            <v>AM</v>
          </cell>
          <cell r="H2235">
            <v>120</v>
          </cell>
          <cell r="I2235">
            <v>35000</v>
          </cell>
        </row>
        <row r="2236">
          <cell r="A2236">
            <v>44986</v>
          </cell>
          <cell r="B2236" t="str">
            <v>Feroz Shaikh</v>
          </cell>
          <cell r="E2236" t="str">
            <v>HHTT</v>
          </cell>
          <cell r="F2236" t="str">
            <v>AM</v>
          </cell>
          <cell r="H2236">
            <v>120</v>
          </cell>
          <cell r="I2236">
            <v>25000</v>
          </cell>
        </row>
        <row r="2237">
          <cell r="A2237">
            <v>44986</v>
          </cell>
          <cell r="B2237" t="str">
            <v>Junaid Warris</v>
          </cell>
          <cell r="E2237" t="str">
            <v>HHTT</v>
          </cell>
          <cell r="F2237" t="str">
            <v>AM</v>
          </cell>
          <cell r="H2237">
            <v>120</v>
          </cell>
          <cell r="I2237">
            <v>16000</v>
          </cell>
        </row>
        <row r="2238">
          <cell r="A2238">
            <v>44986</v>
          </cell>
          <cell r="B2238" t="str">
            <v>Muhammad Nauman Khan</v>
          </cell>
          <cell r="E2238" t="str">
            <v>HHTT</v>
          </cell>
          <cell r="F2238" t="str">
            <v>AM</v>
          </cell>
          <cell r="H2238">
            <v>120</v>
          </cell>
          <cell r="I2238">
            <v>25000</v>
          </cell>
        </row>
        <row r="2239">
          <cell r="A2239">
            <v>44986</v>
          </cell>
          <cell r="B2239" t="str">
            <v>Mushahid Hussain Syed</v>
          </cell>
          <cell r="E2239" t="str">
            <v>HHTT</v>
          </cell>
          <cell r="F2239" t="str">
            <v>AM</v>
          </cell>
          <cell r="H2239">
            <v>120</v>
          </cell>
          <cell r="I2239">
            <v>25000</v>
          </cell>
        </row>
        <row r="2240">
          <cell r="A2240">
            <v>44986</v>
          </cell>
          <cell r="B2240" t="str">
            <v>Osama ElWawi</v>
          </cell>
          <cell r="E2240" t="str">
            <v>HHTT</v>
          </cell>
          <cell r="F2240" t="str">
            <v>AM</v>
          </cell>
          <cell r="H2240">
            <v>150</v>
          </cell>
          <cell r="I2240">
            <v>30000</v>
          </cell>
        </row>
        <row r="2241">
          <cell r="A2241">
            <v>44986</v>
          </cell>
          <cell r="B2241" t="str">
            <v>Ramez Al Alami</v>
          </cell>
          <cell r="E2241" t="str">
            <v>HHTT</v>
          </cell>
          <cell r="F2241" t="str">
            <v>AM</v>
          </cell>
          <cell r="H2241">
            <v>150</v>
          </cell>
          <cell r="I2241">
            <v>35000</v>
          </cell>
        </row>
        <row r="2242">
          <cell r="A2242">
            <v>44986</v>
          </cell>
          <cell r="B2242" t="str">
            <v>Ramy Abdel Fattah</v>
          </cell>
          <cell r="E2242" t="str">
            <v>HHTT</v>
          </cell>
          <cell r="F2242" t="str">
            <v>AM</v>
          </cell>
          <cell r="H2242">
            <v>120</v>
          </cell>
          <cell r="I2242">
            <v>35000</v>
          </cell>
        </row>
        <row r="2243">
          <cell r="A2243">
            <v>44986</v>
          </cell>
          <cell r="B2243" t="str">
            <v>Wasim Raja</v>
          </cell>
          <cell r="E2243" t="str">
            <v>HHTT</v>
          </cell>
          <cell r="F2243" t="str">
            <v>AM</v>
          </cell>
          <cell r="H2243">
            <v>90</v>
          </cell>
          <cell r="I2243">
            <v>20000</v>
          </cell>
        </row>
        <row r="2244">
          <cell r="A2244">
            <v>44986</v>
          </cell>
          <cell r="B2244" t="str">
            <v>Ubaid Ahanger</v>
          </cell>
          <cell r="E2244" t="str">
            <v>HHTT</v>
          </cell>
          <cell r="F2244" t="str">
            <v>AM</v>
          </cell>
          <cell r="H2244">
            <v>74</v>
          </cell>
          <cell r="I2244">
            <v>16000</v>
          </cell>
        </row>
        <row r="2245">
          <cell r="A2245">
            <v>44986</v>
          </cell>
          <cell r="B2245" t="str">
            <v>Khalid Mohammed</v>
          </cell>
          <cell r="E2245" t="str">
            <v>HHTT</v>
          </cell>
          <cell r="F2245" t="str">
            <v>AM</v>
          </cell>
          <cell r="H2245">
            <v>150</v>
          </cell>
          <cell r="I2245">
            <v>25000</v>
          </cell>
        </row>
        <row r="2246">
          <cell r="A2246">
            <v>44986</v>
          </cell>
          <cell r="B2246" t="str">
            <v>Imran Malik</v>
          </cell>
          <cell r="E2246" t="str">
            <v>RCOGM</v>
          </cell>
          <cell r="F2246" t="str">
            <v>D</v>
          </cell>
          <cell r="H2246">
            <v>1942</v>
          </cell>
          <cell r="I2246">
            <v>238432</v>
          </cell>
        </row>
        <row r="2247">
          <cell r="A2247">
            <v>44986</v>
          </cell>
          <cell r="B2247" t="str">
            <v>AlMas Zaheer</v>
          </cell>
          <cell r="E2247" t="str">
            <v>RCOGM</v>
          </cell>
          <cell r="F2247" t="str">
            <v>AM</v>
          </cell>
          <cell r="H2247">
            <v>80</v>
          </cell>
          <cell r="I2247">
            <v>19191</v>
          </cell>
        </row>
        <row r="2248">
          <cell r="A2248">
            <v>44986</v>
          </cell>
          <cell r="B2248" t="str">
            <v>Shiraz Niazi</v>
          </cell>
          <cell r="E2248" t="str">
            <v>RCOGM</v>
          </cell>
          <cell r="F2248" t="str">
            <v>AM</v>
          </cell>
          <cell r="H2248">
            <v>80</v>
          </cell>
          <cell r="I2248">
            <v>19204</v>
          </cell>
        </row>
        <row r="2249">
          <cell r="A2249">
            <v>44986</v>
          </cell>
          <cell r="B2249" t="str">
            <v>Adnan Bashir</v>
          </cell>
          <cell r="E2249" t="str">
            <v>RCOGM</v>
          </cell>
          <cell r="F2249" t="str">
            <v>AM</v>
          </cell>
          <cell r="H2249">
            <v>80</v>
          </cell>
          <cell r="I2249">
            <v>14000</v>
          </cell>
        </row>
        <row r="2250">
          <cell r="A2250">
            <v>44986</v>
          </cell>
          <cell r="B2250" t="str">
            <v>Aijaz Darzi</v>
          </cell>
          <cell r="E2250" t="str">
            <v>RCOGM</v>
          </cell>
          <cell r="F2250" t="str">
            <v>AM</v>
          </cell>
          <cell r="H2250">
            <v>49</v>
          </cell>
          <cell r="I2250">
            <v>5204</v>
          </cell>
        </row>
        <row r="2251">
          <cell r="A2251">
            <v>44986</v>
          </cell>
          <cell r="B2251" t="str">
            <v>Ali Alzarooni</v>
          </cell>
          <cell r="E2251" t="str">
            <v>RCOGM</v>
          </cell>
          <cell r="F2251" t="str">
            <v>AM</v>
          </cell>
          <cell r="H2251">
            <v>80</v>
          </cell>
          <cell r="I2251">
            <v>19204</v>
          </cell>
        </row>
        <row r="2252">
          <cell r="A2252">
            <v>44986</v>
          </cell>
          <cell r="B2252" t="str">
            <v>Ali Shahin</v>
          </cell>
          <cell r="E2252" t="str">
            <v>RCOGM</v>
          </cell>
          <cell r="F2252" t="str">
            <v>AM</v>
          </cell>
          <cell r="H2252">
            <v>130</v>
          </cell>
          <cell r="I2252">
            <v>28204</v>
          </cell>
        </row>
        <row r="2253">
          <cell r="A2253">
            <v>44986</v>
          </cell>
          <cell r="B2253" t="str">
            <v>Ammar Aladily</v>
          </cell>
          <cell r="E2253" t="str">
            <v>RCOGM</v>
          </cell>
          <cell r="F2253" t="str">
            <v>AM</v>
          </cell>
          <cell r="H2253">
            <v>993</v>
          </cell>
          <cell r="I2253">
            <v>28405</v>
          </cell>
        </row>
        <row r="2254">
          <cell r="A2254">
            <v>44986</v>
          </cell>
          <cell r="B2254" t="str">
            <v>Ayaz Zargar</v>
          </cell>
          <cell r="E2254" t="str">
            <v>RCOGM</v>
          </cell>
          <cell r="F2254" t="str">
            <v>AM</v>
          </cell>
          <cell r="H2254">
            <v>80</v>
          </cell>
          <cell r="I2254">
            <v>19204</v>
          </cell>
        </row>
        <row r="2255">
          <cell r="A2255">
            <v>44986</v>
          </cell>
          <cell r="B2255" t="str">
            <v>Danish Shabir</v>
          </cell>
          <cell r="E2255" t="str">
            <v>RCOGM</v>
          </cell>
          <cell r="F2255" t="str">
            <v>AM</v>
          </cell>
          <cell r="H2255">
            <v>80</v>
          </cell>
          <cell r="I2255">
            <v>19204</v>
          </cell>
        </row>
        <row r="2256">
          <cell r="A2256">
            <v>44986</v>
          </cell>
          <cell r="B2256" t="str">
            <v>Sana Shaikh</v>
          </cell>
          <cell r="E2256" t="str">
            <v>RCOGM</v>
          </cell>
          <cell r="F2256" t="str">
            <v>AM</v>
          </cell>
          <cell r="H2256">
            <v>80</v>
          </cell>
          <cell r="I2256">
            <v>19204</v>
          </cell>
        </row>
        <row r="2257">
          <cell r="A2257">
            <v>44986</v>
          </cell>
          <cell r="B2257" t="str">
            <v>Shabbir Lacewala</v>
          </cell>
          <cell r="E2257" t="str">
            <v>RCOGM</v>
          </cell>
          <cell r="F2257" t="str">
            <v>AM</v>
          </cell>
          <cell r="H2257">
            <v>130</v>
          </cell>
          <cell r="I2257">
            <v>28204</v>
          </cell>
        </row>
        <row r="2258">
          <cell r="A2258">
            <v>44986</v>
          </cell>
          <cell r="B2258" t="str">
            <v>Shadab Sheikh</v>
          </cell>
          <cell r="E2258" t="str">
            <v>RCOGM</v>
          </cell>
          <cell r="F2258" t="str">
            <v>AM</v>
          </cell>
          <cell r="H2258">
            <v>80</v>
          </cell>
          <cell r="I2258">
            <v>19204</v>
          </cell>
        </row>
        <row r="2259">
          <cell r="A2259">
            <v>44986</v>
          </cell>
          <cell r="B2259" t="str">
            <v>Hany Jawee</v>
          </cell>
          <cell r="E2259" t="str">
            <v>TME</v>
          </cell>
          <cell r="F2259" t="str">
            <v>D</v>
          </cell>
          <cell r="H2259">
            <v>1679</v>
          </cell>
          <cell r="I2259">
            <v>302509.75333333318</v>
          </cell>
        </row>
        <row r="2260">
          <cell r="A2260">
            <v>44986</v>
          </cell>
          <cell r="B2260" t="str">
            <v>Ahmad Ozdamir</v>
          </cell>
          <cell r="E2260" t="str">
            <v>TME</v>
          </cell>
          <cell r="F2260" t="str">
            <v>AM</v>
          </cell>
          <cell r="H2260">
            <v>151.698641710505</v>
          </cell>
          <cell r="I2260">
            <v>25910.094026149702</v>
          </cell>
        </row>
        <row r="2261">
          <cell r="A2261">
            <v>44986</v>
          </cell>
          <cell r="B2261" t="str">
            <v>Ahmed AlShehhi</v>
          </cell>
          <cell r="E2261" t="str">
            <v>TME</v>
          </cell>
          <cell r="F2261" t="str">
            <v>AM</v>
          </cell>
          <cell r="H2261">
            <v>108.480724762596</v>
          </cell>
          <cell r="I2261">
            <v>15315.7582717571</v>
          </cell>
        </row>
        <row r="2262">
          <cell r="A2262">
            <v>44986</v>
          </cell>
          <cell r="B2262" t="str">
            <v>Amjad Ilwan</v>
          </cell>
          <cell r="E2262" t="str">
            <v>TME</v>
          </cell>
          <cell r="F2262" t="str">
            <v>AM</v>
          </cell>
          <cell r="H2262">
            <v>152.480724762596</v>
          </cell>
          <cell r="I2262">
            <v>12691.852612160101</v>
          </cell>
        </row>
        <row r="2263">
          <cell r="A2263">
            <v>44986</v>
          </cell>
          <cell r="B2263" t="str">
            <v>Anastasia Maltseva</v>
          </cell>
          <cell r="E2263" t="str">
            <v>TME</v>
          </cell>
          <cell r="F2263" t="str">
            <v>AM</v>
          </cell>
          <cell r="H2263">
            <v>108.480724762596</v>
          </cell>
          <cell r="I2263">
            <v>15643.559163431701</v>
          </cell>
        </row>
        <row r="2264">
          <cell r="A2264">
            <v>44986</v>
          </cell>
          <cell r="B2264" t="str">
            <v>Buhari Buhari</v>
          </cell>
          <cell r="E2264" t="str">
            <v>TME</v>
          </cell>
          <cell r="F2264" t="str">
            <v>AM</v>
          </cell>
          <cell r="H2264">
            <v>152.480724762596</v>
          </cell>
          <cell r="I2264">
            <v>22910.094026149702</v>
          </cell>
        </row>
        <row r="2265">
          <cell r="A2265">
            <v>44986</v>
          </cell>
          <cell r="B2265" t="str">
            <v>Ehab Hajou</v>
          </cell>
          <cell r="E2265" t="str">
            <v>TME</v>
          </cell>
          <cell r="F2265" t="str">
            <v>AM</v>
          </cell>
          <cell r="H2265">
            <v>137.480724762596</v>
          </cell>
          <cell r="I2265">
            <v>47589.102802463298</v>
          </cell>
        </row>
        <row r="2266">
          <cell r="A2266">
            <v>44986</v>
          </cell>
          <cell r="B2266" t="str">
            <v>Fadi Saleh</v>
          </cell>
          <cell r="E2266" t="str">
            <v>TME</v>
          </cell>
          <cell r="F2266" t="str">
            <v>AM</v>
          </cell>
          <cell r="H2266">
            <v>55</v>
          </cell>
          <cell r="I2266">
            <v>10910.09402614972</v>
          </cell>
        </row>
        <row r="2267">
          <cell r="A2267">
            <v>44986</v>
          </cell>
          <cell r="B2267" t="str">
            <v>Jeevantha Ranasinghe</v>
          </cell>
          <cell r="E2267" t="str">
            <v>TME</v>
          </cell>
          <cell r="F2267" t="str">
            <v>AM</v>
          </cell>
          <cell r="H2267">
            <v>146.78972512822301</v>
          </cell>
          <cell r="I2267">
            <v>20910.094026149702</v>
          </cell>
        </row>
        <row r="2268">
          <cell r="A2268">
            <v>44986</v>
          </cell>
          <cell r="B2268" t="str">
            <v>Sara Alblooshi</v>
          </cell>
          <cell r="E2268" t="str">
            <v>TME</v>
          </cell>
          <cell r="F2268" t="str">
            <v>AM</v>
          </cell>
          <cell r="H2268">
            <v>128.480724762596</v>
          </cell>
          <cell r="I2268">
            <v>4910.0940261496999</v>
          </cell>
        </row>
        <row r="2269">
          <cell r="A2269">
            <v>44986</v>
          </cell>
          <cell r="B2269" t="str">
            <v>Suleiman Wanni</v>
          </cell>
          <cell r="E2269" t="str">
            <v>TME</v>
          </cell>
          <cell r="F2269" t="str">
            <v>AM</v>
          </cell>
          <cell r="H2269">
            <v>137.480724762596</v>
          </cell>
          <cell r="I2269">
            <v>47659.377954437798</v>
          </cell>
        </row>
        <row r="2270">
          <cell r="A2270">
            <v>44986</v>
          </cell>
          <cell r="B2270" t="str">
            <v>Waseem Suhaf</v>
          </cell>
          <cell r="E2270" t="str">
            <v>TME</v>
          </cell>
          <cell r="F2270" t="str">
            <v>AM</v>
          </cell>
          <cell r="H2270">
            <v>147.480724762596</v>
          </cell>
          <cell r="I2270">
            <v>26910.094026149702</v>
          </cell>
        </row>
        <row r="2271">
          <cell r="A2271">
            <v>44986</v>
          </cell>
          <cell r="B2271" t="str">
            <v>Iqbal Hussain</v>
          </cell>
          <cell r="E2271" t="str">
            <v>TME</v>
          </cell>
          <cell r="F2271" t="str">
            <v>AM</v>
          </cell>
          <cell r="H2271">
            <v>123.480724762596</v>
          </cell>
          <cell r="I2271">
            <v>30514.304199321799</v>
          </cell>
        </row>
        <row r="2272">
          <cell r="A2272">
            <v>44986</v>
          </cell>
          <cell r="B2272" t="str">
            <v>Rijith Menon</v>
          </cell>
          <cell r="E2272" t="str">
            <v>TME</v>
          </cell>
          <cell r="F2272" t="str">
            <v>AM</v>
          </cell>
          <cell r="H2272">
            <v>128</v>
          </cell>
          <cell r="I2272">
            <v>20635.234172863198</v>
          </cell>
        </row>
        <row r="2273">
          <cell r="A2273">
            <v>44986</v>
          </cell>
          <cell r="B2273" t="str">
            <v>Mohamad Amer Sibai</v>
          </cell>
          <cell r="E2273" t="str">
            <v>DXB</v>
          </cell>
          <cell r="F2273" t="str">
            <v>D</v>
          </cell>
          <cell r="H2273">
            <v>200</v>
          </cell>
          <cell r="I2273">
            <v>100000</v>
          </cell>
        </row>
        <row r="2274">
          <cell r="A2274">
            <v>44986</v>
          </cell>
          <cell r="B2274" t="str">
            <v>Mohamed Mady</v>
          </cell>
          <cell r="E2274" t="str">
            <v>DXB</v>
          </cell>
          <cell r="F2274" t="str">
            <v>AM</v>
          </cell>
          <cell r="H2274">
            <v>50</v>
          </cell>
          <cell r="I2274">
            <v>15000</v>
          </cell>
        </row>
        <row r="2275">
          <cell r="A2275">
            <v>44986</v>
          </cell>
          <cell r="B2275" t="str">
            <v>Ramzi Gholmieh</v>
          </cell>
          <cell r="E2275" t="str">
            <v>DXB</v>
          </cell>
          <cell r="F2275" t="str">
            <v>AM</v>
          </cell>
          <cell r="H2275">
            <v>50</v>
          </cell>
          <cell r="I2275">
            <v>35000</v>
          </cell>
        </row>
        <row r="2276">
          <cell r="A2276">
            <v>44986</v>
          </cell>
          <cell r="B2276" t="str">
            <v>Tariq AlAwadhi</v>
          </cell>
          <cell r="E2276" t="str">
            <v>DXB</v>
          </cell>
          <cell r="F2276" t="str">
            <v>AM</v>
          </cell>
          <cell r="H2276">
            <v>50</v>
          </cell>
          <cell r="I2276">
            <v>15000</v>
          </cell>
        </row>
        <row r="2277">
          <cell r="A2277">
            <v>44986</v>
          </cell>
          <cell r="B2277" t="str">
            <v>Talal Ahmed Ali Alsharhan</v>
          </cell>
          <cell r="E2277" t="str">
            <v>DXB</v>
          </cell>
          <cell r="F2277" t="str">
            <v>AM</v>
          </cell>
          <cell r="H2277">
            <v>50</v>
          </cell>
          <cell r="I2277">
            <v>35000</v>
          </cell>
        </row>
        <row r="2278">
          <cell r="A2278">
            <v>44986</v>
          </cell>
          <cell r="B2278" t="str">
            <v>Khaled Alawadi</v>
          </cell>
          <cell r="E2278" t="str">
            <v>F-NE</v>
          </cell>
          <cell r="F2278" t="str">
            <v>D</v>
          </cell>
          <cell r="H2278">
            <v>150</v>
          </cell>
          <cell r="I2278">
            <v>50000</v>
          </cell>
        </row>
        <row r="2279">
          <cell r="A2279">
            <v>44986</v>
          </cell>
          <cell r="B2279" t="str">
            <v>Bader Al Shehhi</v>
          </cell>
          <cell r="E2279" t="str">
            <v>F-NE</v>
          </cell>
          <cell r="F2279" t="str">
            <v>AM</v>
          </cell>
          <cell r="H2279">
            <v>35</v>
          </cell>
          <cell r="I2279">
            <v>15000</v>
          </cell>
        </row>
        <row r="2280">
          <cell r="A2280">
            <v>44986</v>
          </cell>
          <cell r="B2280" t="str">
            <v>Majd Nairoukh</v>
          </cell>
          <cell r="E2280" t="str">
            <v>F-NE</v>
          </cell>
          <cell r="F2280" t="str">
            <v>AM</v>
          </cell>
          <cell r="H2280">
            <v>40</v>
          </cell>
          <cell r="I2280">
            <v>17000</v>
          </cell>
        </row>
        <row r="2281">
          <cell r="A2281">
            <v>44986</v>
          </cell>
          <cell r="B2281" t="str">
            <v>Nader AlMustafa</v>
          </cell>
          <cell r="E2281" t="str">
            <v>F-NE</v>
          </cell>
          <cell r="F2281" t="str">
            <v>AM</v>
          </cell>
          <cell r="H2281">
            <v>40</v>
          </cell>
          <cell r="I2281">
            <v>8000</v>
          </cell>
        </row>
        <row r="2282">
          <cell r="A2282">
            <v>44986</v>
          </cell>
          <cell r="B2282" t="str">
            <v>Yousef Al Baloushi</v>
          </cell>
          <cell r="E2282" t="str">
            <v>F-NE</v>
          </cell>
          <cell r="F2282" t="str">
            <v>AM</v>
          </cell>
          <cell r="H2282">
            <v>35</v>
          </cell>
          <cell r="I2282">
            <v>10000</v>
          </cell>
        </row>
        <row r="2283">
          <cell r="A2283">
            <v>44986</v>
          </cell>
          <cell r="B2283" t="str">
            <v>Khalid Karmastaji</v>
          </cell>
          <cell r="E2283" t="str">
            <v>KA-AUH</v>
          </cell>
          <cell r="F2283" t="str">
            <v>D</v>
          </cell>
          <cell r="H2283">
            <v>350</v>
          </cell>
          <cell r="I2283">
            <v>150000</v>
          </cell>
        </row>
        <row r="2284">
          <cell r="A2284">
            <v>44986</v>
          </cell>
          <cell r="B2284" t="str">
            <v>Ammar Alqudsi</v>
          </cell>
          <cell r="E2284" t="str">
            <v>KA-AUH</v>
          </cell>
          <cell r="F2284" t="str">
            <v>AM</v>
          </cell>
          <cell r="H2284">
            <v>60</v>
          </cell>
          <cell r="I2284">
            <v>10000</v>
          </cell>
        </row>
        <row r="2285">
          <cell r="A2285">
            <v>44986</v>
          </cell>
          <cell r="B2285" t="str">
            <v>Osman Basuleman</v>
          </cell>
          <cell r="E2285" t="str">
            <v>KA-AUH</v>
          </cell>
          <cell r="F2285" t="str">
            <v>AM</v>
          </cell>
          <cell r="H2285">
            <v>40</v>
          </cell>
          <cell r="I2285">
            <v>20000</v>
          </cell>
        </row>
        <row r="2286">
          <cell r="A2286">
            <v>44986</v>
          </cell>
          <cell r="B2286" t="str">
            <v>Tarek Solh</v>
          </cell>
          <cell r="E2286" t="str">
            <v>KA-AUH</v>
          </cell>
          <cell r="F2286" t="str">
            <v>AM</v>
          </cell>
          <cell r="H2286">
            <v>60</v>
          </cell>
          <cell r="I2286">
            <v>50000</v>
          </cell>
        </row>
        <row r="2287">
          <cell r="A2287">
            <v>44986</v>
          </cell>
          <cell r="B2287" t="str">
            <v>Khamis Almakrani</v>
          </cell>
          <cell r="E2287" t="str">
            <v>KA-AUH</v>
          </cell>
          <cell r="F2287" t="str">
            <v>AM</v>
          </cell>
          <cell r="H2287">
            <v>30</v>
          </cell>
          <cell r="I2287">
            <v>10000</v>
          </cell>
        </row>
        <row r="2288">
          <cell r="A2288">
            <v>44986</v>
          </cell>
          <cell r="B2288" t="str">
            <v>Omar AlHammadi</v>
          </cell>
          <cell r="E2288" t="str">
            <v>KA-AUH</v>
          </cell>
          <cell r="F2288" t="str">
            <v>AM</v>
          </cell>
          <cell r="H2288">
            <v>40</v>
          </cell>
          <cell r="I2288">
            <v>30000</v>
          </cell>
        </row>
        <row r="2289">
          <cell r="A2289">
            <v>44986</v>
          </cell>
          <cell r="B2289" t="str">
            <v>Yousef Alhosani</v>
          </cell>
          <cell r="E2289" t="str">
            <v>KA-AUH</v>
          </cell>
          <cell r="F2289" t="str">
            <v>AM</v>
          </cell>
          <cell r="H2289">
            <v>40</v>
          </cell>
          <cell r="I2289">
            <v>10000</v>
          </cell>
        </row>
        <row r="2290">
          <cell r="A2290">
            <v>44986</v>
          </cell>
          <cell r="B2290" t="str">
            <v>Humaid Almaazmi</v>
          </cell>
          <cell r="E2290" t="str">
            <v>KA-AUH</v>
          </cell>
          <cell r="F2290" t="str">
            <v>AM</v>
          </cell>
          <cell r="H2290">
            <v>40</v>
          </cell>
          <cell r="I2290">
            <v>10000</v>
          </cell>
        </row>
        <row r="2291">
          <cell r="A2291">
            <v>44986</v>
          </cell>
          <cell r="B2291" t="str">
            <v>Abdulla Alhashmi</v>
          </cell>
          <cell r="E2291" t="str">
            <v>KA-AUH</v>
          </cell>
          <cell r="F2291" t="str">
            <v>AM</v>
          </cell>
          <cell r="H2291">
            <v>40</v>
          </cell>
          <cell r="I2291">
            <v>10000</v>
          </cell>
        </row>
        <row r="2292">
          <cell r="A2292">
            <v>44986</v>
          </cell>
          <cell r="B2292" t="str">
            <v>Mazen Adem</v>
          </cell>
          <cell r="E2292" t="str">
            <v>KA</v>
          </cell>
          <cell r="F2292" t="str">
            <v>D</v>
          </cell>
          <cell r="H2292">
            <v>550</v>
          </cell>
          <cell r="I2292">
            <v>150000</v>
          </cell>
        </row>
        <row r="2293">
          <cell r="A2293">
            <v>44986</v>
          </cell>
          <cell r="B2293" t="str">
            <v>Abdel Azim Sharabati</v>
          </cell>
          <cell r="E2293" t="str">
            <v>KA</v>
          </cell>
          <cell r="F2293" t="str">
            <v>AM</v>
          </cell>
          <cell r="H2293">
            <v>75</v>
          </cell>
          <cell r="I2293">
            <v>50000</v>
          </cell>
        </row>
        <row r="2294">
          <cell r="A2294">
            <v>44986</v>
          </cell>
          <cell r="B2294" t="str">
            <v>Abraham Cherian</v>
          </cell>
          <cell r="E2294" t="str">
            <v>KA</v>
          </cell>
          <cell r="F2294" t="str">
            <v>AM</v>
          </cell>
          <cell r="H2294">
            <v>85</v>
          </cell>
          <cell r="I2294">
            <v>20000</v>
          </cell>
        </row>
        <row r="2295">
          <cell r="A2295">
            <v>44986</v>
          </cell>
          <cell r="B2295" t="str">
            <v>Arjun Subaraman</v>
          </cell>
          <cell r="E2295" t="str">
            <v>KA</v>
          </cell>
          <cell r="F2295" t="str">
            <v>AM</v>
          </cell>
          <cell r="H2295">
            <v>100</v>
          </cell>
          <cell r="I2295">
            <v>22000</v>
          </cell>
        </row>
        <row r="2296">
          <cell r="A2296">
            <v>44986</v>
          </cell>
          <cell r="B2296" t="str">
            <v>Ghassan Fouany</v>
          </cell>
          <cell r="E2296" t="str">
            <v>KA</v>
          </cell>
          <cell r="F2296" t="str">
            <v>AM</v>
          </cell>
          <cell r="H2296">
            <v>80</v>
          </cell>
          <cell r="I2296">
            <v>13000</v>
          </cell>
        </row>
        <row r="2297">
          <cell r="A2297">
            <v>44986</v>
          </cell>
          <cell r="B2297" t="str">
            <v>Inayat Fazili</v>
          </cell>
          <cell r="E2297" t="str">
            <v>KA</v>
          </cell>
          <cell r="F2297" t="str">
            <v>AM</v>
          </cell>
          <cell r="H2297">
            <v>80</v>
          </cell>
          <cell r="I2297">
            <v>29000</v>
          </cell>
        </row>
        <row r="2298">
          <cell r="A2298">
            <v>44986</v>
          </cell>
          <cell r="B2298" t="str">
            <v>Mohd Sheikh Salem</v>
          </cell>
          <cell r="E2298" t="str">
            <v>KA</v>
          </cell>
          <cell r="F2298" t="str">
            <v>AM</v>
          </cell>
          <cell r="H2298">
            <v>130</v>
          </cell>
          <cell r="I2298">
            <v>16000</v>
          </cell>
        </row>
        <row r="2299">
          <cell r="A2299">
            <v>45017</v>
          </cell>
          <cell r="B2299" t="str">
            <v>Eslam Hassan</v>
          </cell>
          <cell r="E2299" t="str">
            <v>FCR</v>
          </cell>
          <cell r="F2299" t="str">
            <v>AM</v>
          </cell>
          <cell r="H2299">
            <v>110</v>
          </cell>
          <cell r="I2299">
            <v>21930</v>
          </cell>
          <cell r="K2299">
            <v>1416</v>
          </cell>
        </row>
        <row r="2300">
          <cell r="A2300">
            <v>45017</v>
          </cell>
          <cell r="B2300" t="str">
            <v>Mohamad Labban</v>
          </cell>
          <cell r="E2300" t="str">
            <v>FCR</v>
          </cell>
          <cell r="F2300" t="str">
            <v>AM</v>
          </cell>
          <cell r="H2300">
            <v>120</v>
          </cell>
          <cell r="I2300">
            <v>21930</v>
          </cell>
          <cell r="K2300">
            <v>3500</v>
          </cell>
        </row>
        <row r="2301">
          <cell r="A2301">
            <v>45017</v>
          </cell>
          <cell r="B2301" t="str">
            <v>Mohamed Kishk</v>
          </cell>
          <cell r="E2301" t="str">
            <v>FCR</v>
          </cell>
          <cell r="F2301" t="str">
            <v>AM</v>
          </cell>
          <cell r="H2301">
            <v>131</v>
          </cell>
          <cell r="I2301">
            <v>21930</v>
          </cell>
          <cell r="K2301">
            <v>1416</v>
          </cell>
        </row>
        <row r="2302">
          <cell r="A2302">
            <v>45017</v>
          </cell>
          <cell r="B2302" t="str">
            <v>Mohamed Mostafa</v>
          </cell>
          <cell r="E2302" t="str">
            <v>FCR</v>
          </cell>
          <cell r="F2302" t="str">
            <v>AM</v>
          </cell>
          <cell r="H2302">
            <v>135</v>
          </cell>
          <cell r="I2302">
            <v>21930</v>
          </cell>
          <cell r="K2302">
            <v>1500</v>
          </cell>
        </row>
        <row r="2303">
          <cell r="A2303">
            <v>45017</v>
          </cell>
          <cell r="B2303" t="str">
            <v>Muhammad AbdullahTahir</v>
          </cell>
          <cell r="E2303" t="str">
            <v>FCR</v>
          </cell>
          <cell r="F2303" t="str">
            <v>AM</v>
          </cell>
          <cell r="H2303">
            <v>160</v>
          </cell>
          <cell r="I2303">
            <v>21930</v>
          </cell>
          <cell r="K2303">
            <v>800</v>
          </cell>
        </row>
        <row r="2304">
          <cell r="A2304">
            <v>45017</v>
          </cell>
          <cell r="B2304" t="str">
            <v>Muhammad Ismail</v>
          </cell>
          <cell r="E2304" t="str">
            <v>FCR</v>
          </cell>
          <cell r="F2304" t="str">
            <v>AM</v>
          </cell>
          <cell r="H2304">
            <v>131</v>
          </cell>
          <cell r="I2304">
            <v>21930</v>
          </cell>
          <cell r="K2304">
            <v>1384</v>
          </cell>
        </row>
        <row r="2305">
          <cell r="A2305">
            <v>45017</v>
          </cell>
          <cell r="B2305" t="str">
            <v>Nadeem Rasheed</v>
          </cell>
          <cell r="E2305" t="str">
            <v>FCR</v>
          </cell>
          <cell r="F2305" t="str">
            <v>AM</v>
          </cell>
          <cell r="H2305">
            <v>118</v>
          </cell>
          <cell r="I2305">
            <v>21930</v>
          </cell>
          <cell r="K2305">
            <v>1500</v>
          </cell>
        </row>
        <row r="2306">
          <cell r="A2306">
            <v>45017</v>
          </cell>
          <cell r="B2306" t="str">
            <v>Othman Hassan</v>
          </cell>
          <cell r="E2306" t="str">
            <v>FCR</v>
          </cell>
          <cell r="F2306" t="str">
            <v>AM</v>
          </cell>
          <cell r="H2306">
            <v>120</v>
          </cell>
          <cell r="I2306">
            <v>21930</v>
          </cell>
          <cell r="K2306">
            <v>1384</v>
          </cell>
        </row>
        <row r="2307">
          <cell r="A2307">
            <v>45017</v>
          </cell>
          <cell r="B2307" t="str">
            <v>Peter Sedrak</v>
          </cell>
          <cell r="E2307" t="str">
            <v>FCR</v>
          </cell>
          <cell r="F2307" t="str">
            <v>AM</v>
          </cell>
          <cell r="H2307">
            <v>131</v>
          </cell>
          <cell r="I2307">
            <v>21930</v>
          </cell>
          <cell r="K2307">
            <v>800</v>
          </cell>
        </row>
        <row r="2308">
          <cell r="A2308">
            <v>45017</v>
          </cell>
          <cell r="B2308" t="str">
            <v>Ranjith Chandran</v>
          </cell>
          <cell r="E2308" t="str">
            <v>FCR</v>
          </cell>
          <cell r="F2308" t="str">
            <v>AM</v>
          </cell>
          <cell r="H2308">
            <v>131</v>
          </cell>
          <cell r="I2308">
            <v>21930</v>
          </cell>
          <cell r="K2308">
            <v>1500</v>
          </cell>
        </row>
        <row r="2309">
          <cell r="A2309">
            <v>45017</v>
          </cell>
          <cell r="B2309" t="str">
            <v>Simon Williams</v>
          </cell>
          <cell r="E2309" t="str">
            <v>FCR</v>
          </cell>
          <cell r="F2309" t="str">
            <v>AM</v>
          </cell>
          <cell r="H2309">
            <v>120</v>
          </cell>
          <cell r="I2309">
            <v>21930</v>
          </cell>
          <cell r="K2309">
            <v>1500</v>
          </cell>
        </row>
        <row r="2310">
          <cell r="A2310">
            <v>45017</v>
          </cell>
          <cell r="B2310" t="str">
            <v>Syed Naqvi</v>
          </cell>
          <cell r="E2310" t="str">
            <v>FCR</v>
          </cell>
          <cell r="F2310" t="str">
            <v>AM</v>
          </cell>
          <cell r="H2310">
            <v>40</v>
          </cell>
          <cell r="I2310">
            <v>3642</v>
          </cell>
          <cell r="K2310">
            <v>500</v>
          </cell>
        </row>
        <row r="2311">
          <cell r="A2311">
            <v>45017</v>
          </cell>
          <cell r="B2311" t="str">
            <v>Usman Zafar Sipra</v>
          </cell>
          <cell r="E2311" t="str">
            <v>FCR</v>
          </cell>
          <cell r="F2311" t="str">
            <v>AM</v>
          </cell>
          <cell r="H2311">
            <v>119</v>
          </cell>
          <cell r="I2311">
            <v>21930</v>
          </cell>
          <cell r="K2311">
            <v>800</v>
          </cell>
        </row>
        <row r="2312">
          <cell r="A2312">
            <v>45017</v>
          </cell>
          <cell r="B2312" t="str">
            <v>Muhammad Shahzad Hasan</v>
          </cell>
          <cell r="E2312" t="str">
            <v>FCR</v>
          </cell>
          <cell r="F2312" t="str">
            <v>D</v>
          </cell>
          <cell r="H2312">
            <v>1566</v>
          </cell>
          <cell r="I2312">
            <v>266802</v>
          </cell>
          <cell r="K2312">
            <v>18000</v>
          </cell>
        </row>
        <row r="2313">
          <cell r="A2313">
            <v>45017</v>
          </cell>
          <cell r="B2313" t="str">
            <v>Bashar Al Adilee</v>
          </cell>
          <cell r="E2313" t="str">
            <v>HHTT</v>
          </cell>
          <cell r="F2313" t="str">
            <v>AM</v>
          </cell>
          <cell r="H2313">
            <v>95</v>
          </cell>
          <cell r="I2313">
            <v>30226</v>
          </cell>
          <cell r="K2313">
            <v>2000</v>
          </cell>
        </row>
        <row r="2314">
          <cell r="A2314">
            <v>45017</v>
          </cell>
          <cell r="B2314" t="str">
            <v>Favas Kurinhilayil</v>
          </cell>
          <cell r="E2314" t="str">
            <v>HHTT</v>
          </cell>
          <cell r="F2314" t="str">
            <v>AM</v>
          </cell>
          <cell r="H2314">
            <v>80</v>
          </cell>
          <cell r="I2314">
            <v>25000</v>
          </cell>
          <cell r="K2314">
            <v>1800</v>
          </cell>
        </row>
        <row r="2315">
          <cell r="A2315">
            <v>45017</v>
          </cell>
          <cell r="B2315" t="str">
            <v>Feroz Shaikh</v>
          </cell>
          <cell r="E2315" t="str">
            <v>HHTT</v>
          </cell>
          <cell r="F2315" t="str">
            <v>AM</v>
          </cell>
          <cell r="H2315">
            <v>80</v>
          </cell>
          <cell r="I2315">
            <v>20000</v>
          </cell>
          <cell r="K2315">
            <v>1800</v>
          </cell>
        </row>
        <row r="2316">
          <cell r="A2316">
            <v>45017</v>
          </cell>
          <cell r="B2316" t="str">
            <v>Junaid Warris</v>
          </cell>
          <cell r="E2316" t="str">
            <v>HHTT</v>
          </cell>
          <cell r="F2316" t="str">
            <v>AM</v>
          </cell>
          <cell r="H2316">
            <v>80</v>
          </cell>
          <cell r="I2316">
            <v>18000</v>
          </cell>
          <cell r="K2316">
            <v>400</v>
          </cell>
        </row>
        <row r="2317">
          <cell r="A2317">
            <v>45017</v>
          </cell>
          <cell r="B2317" t="str">
            <v>Khalid Mohammed</v>
          </cell>
          <cell r="E2317" t="str">
            <v>HHTT</v>
          </cell>
          <cell r="F2317" t="str">
            <v>AM</v>
          </cell>
          <cell r="H2317">
            <v>97</v>
          </cell>
          <cell r="I2317">
            <v>30000</v>
          </cell>
          <cell r="K2317">
            <v>2000</v>
          </cell>
        </row>
        <row r="2318">
          <cell r="A2318">
            <v>45017</v>
          </cell>
          <cell r="B2318" t="str">
            <v>Khaled Abdelaziz</v>
          </cell>
          <cell r="E2318" t="str">
            <v>HHTT</v>
          </cell>
          <cell r="F2318" t="str">
            <v>AM</v>
          </cell>
          <cell r="H2318">
            <v>70</v>
          </cell>
          <cell r="I2318">
            <v>18000</v>
          </cell>
          <cell r="K2318">
            <v>400</v>
          </cell>
        </row>
        <row r="2319">
          <cell r="A2319">
            <v>45017</v>
          </cell>
          <cell r="B2319" t="str">
            <v>Muhammad Nauman Khan</v>
          </cell>
          <cell r="E2319" t="str">
            <v>HHTT</v>
          </cell>
          <cell r="F2319" t="str">
            <v>AM</v>
          </cell>
          <cell r="H2319">
            <v>80</v>
          </cell>
          <cell r="I2319">
            <v>20000</v>
          </cell>
          <cell r="K2319">
            <v>1800</v>
          </cell>
        </row>
        <row r="2320">
          <cell r="A2320">
            <v>45017</v>
          </cell>
          <cell r="B2320" t="str">
            <v>Mushahid Hussain Syed</v>
          </cell>
          <cell r="E2320" t="str">
            <v>HHTT</v>
          </cell>
          <cell r="F2320" t="str">
            <v>AM</v>
          </cell>
          <cell r="H2320">
            <v>80</v>
          </cell>
          <cell r="I2320">
            <v>20000</v>
          </cell>
          <cell r="K2320">
            <v>1800</v>
          </cell>
        </row>
        <row r="2321">
          <cell r="A2321">
            <v>45017</v>
          </cell>
          <cell r="B2321" t="str">
            <v>Osama ElWawi</v>
          </cell>
          <cell r="E2321" t="str">
            <v>HHTT</v>
          </cell>
          <cell r="F2321" t="str">
            <v>AM</v>
          </cell>
          <cell r="H2321">
            <v>95</v>
          </cell>
          <cell r="I2321">
            <v>25000</v>
          </cell>
          <cell r="K2321">
            <v>1800</v>
          </cell>
        </row>
        <row r="2322">
          <cell r="A2322">
            <v>45017</v>
          </cell>
          <cell r="B2322" t="str">
            <v>Ramez Al Alami</v>
          </cell>
          <cell r="E2322" t="str">
            <v>HHTT</v>
          </cell>
          <cell r="F2322" t="str">
            <v>AM</v>
          </cell>
          <cell r="H2322">
            <v>95</v>
          </cell>
          <cell r="I2322">
            <v>25000</v>
          </cell>
          <cell r="K2322">
            <v>1600</v>
          </cell>
        </row>
        <row r="2323">
          <cell r="A2323">
            <v>45017</v>
          </cell>
          <cell r="B2323" t="str">
            <v>Ramy Abdel Fattah</v>
          </cell>
          <cell r="E2323" t="str">
            <v>HHTT</v>
          </cell>
          <cell r="F2323" t="str">
            <v>AM</v>
          </cell>
          <cell r="H2323">
            <v>95</v>
          </cell>
          <cell r="I2323">
            <v>25000</v>
          </cell>
          <cell r="K2323">
            <v>1800</v>
          </cell>
        </row>
        <row r="2324">
          <cell r="A2324">
            <v>45017</v>
          </cell>
          <cell r="B2324" t="str">
            <v>Ubaid Ahanger</v>
          </cell>
          <cell r="E2324" t="str">
            <v>HHTT</v>
          </cell>
          <cell r="F2324" t="str">
            <v>AM</v>
          </cell>
          <cell r="H2324">
            <v>70</v>
          </cell>
          <cell r="I2324">
            <v>15000</v>
          </cell>
          <cell r="K2324">
            <v>400</v>
          </cell>
        </row>
        <row r="2325">
          <cell r="A2325">
            <v>45017</v>
          </cell>
          <cell r="B2325" t="str">
            <v>Wasim Raja</v>
          </cell>
          <cell r="E2325" t="str">
            <v>HHTT</v>
          </cell>
          <cell r="F2325" t="str">
            <v>AM</v>
          </cell>
          <cell r="H2325">
            <v>70</v>
          </cell>
          <cell r="I2325">
            <v>18000</v>
          </cell>
          <cell r="K2325">
            <v>400</v>
          </cell>
        </row>
        <row r="2326">
          <cell r="A2326">
            <v>45017</v>
          </cell>
          <cell r="B2326" t="str">
            <v>Maitha Bin Malek</v>
          </cell>
          <cell r="E2326" t="str">
            <v>HHTT</v>
          </cell>
          <cell r="F2326" t="str">
            <v>D</v>
          </cell>
          <cell r="H2326">
            <v>1087</v>
          </cell>
          <cell r="I2326">
            <v>289226</v>
          </cell>
          <cell r="K2326">
            <v>18000</v>
          </cell>
        </row>
        <row r="2327">
          <cell r="A2327">
            <v>45017</v>
          </cell>
          <cell r="B2327" t="str">
            <v>Adnan Bashir</v>
          </cell>
          <cell r="E2327" t="str">
            <v>RCOGM</v>
          </cell>
          <cell r="F2327" t="str">
            <v>AM</v>
          </cell>
          <cell r="H2327">
            <v>110</v>
          </cell>
          <cell r="I2327">
            <v>16500</v>
          </cell>
          <cell r="K2327">
            <v>1500</v>
          </cell>
        </row>
        <row r="2328">
          <cell r="A2328">
            <v>45017</v>
          </cell>
          <cell r="B2328" t="str">
            <v>Aijaz Darzi</v>
          </cell>
          <cell r="E2328" t="str">
            <v>RCOGM</v>
          </cell>
          <cell r="F2328" t="str">
            <v>AM</v>
          </cell>
          <cell r="H2328">
            <v>50</v>
          </cell>
          <cell r="I2328">
            <v>6000</v>
          </cell>
          <cell r="K2328">
            <v>500</v>
          </cell>
        </row>
        <row r="2329">
          <cell r="A2329">
            <v>45017</v>
          </cell>
          <cell r="B2329" t="str">
            <v>AlMas Zaheer</v>
          </cell>
          <cell r="E2329" t="str">
            <v>RCOGM</v>
          </cell>
          <cell r="F2329" t="str">
            <v>AM</v>
          </cell>
          <cell r="H2329">
            <v>110</v>
          </cell>
          <cell r="I2329">
            <v>16500</v>
          </cell>
          <cell r="K2329">
            <v>1500</v>
          </cell>
        </row>
        <row r="2330">
          <cell r="A2330">
            <v>45017</v>
          </cell>
          <cell r="B2330" t="str">
            <v>Ali Alzarooni</v>
          </cell>
          <cell r="E2330" t="str">
            <v>RCOGM</v>
          </cell>
          <cell r="F2330" t="str">
            <v>AM</v>
          </cell>
          <cell r="H2330">
            <v>110</v>
          </cell>
          <cell r="I2330">
            <v>16500</v>
          </cell>
          <cell r="K2330">
            <v>1500</v>
          </cell>
        </row>
        <row r="2331">
          <cell r="A2331">
            <v>45017</v>
          </cell>
          <cell r="B2331" t="str">
            <v>Ali Shahin</v>
          </cell>
          <cell r="E2331" t="str">
            <v>RCOGM</v>
          </cell>
          <cell r="F2331" t="str">
            <v>AM</v>
          </cell>
          <cell r="H2331">
            <v>110</v>
          </cell>
          <cell r="I2331">
            <v>16500</v>
          </cell>
          <cell r="K2331">
            <v>1500</v>
          </cell>
        </row>
        <row r="2332">
          <cell r="A2332">
            <v>45017</v>
          </cell>
          <cell r="B2332" t="str">
            <v>Ammar Aladily</v>
          </cell>
          <cell r="E2332" t="str">
            <v>RCOGM</v>
          </cell>
          <cell r="F2332" t="str">
            <v>AM</v>
          </cell>
          <cell r="H2332">
            <v>374</v>
          </cell>
          <cell r="I2332">
            <v>38440</v>
          </cell>
          <cell r="K2332">
            <v>1500</v>
          </cell>
        </row>
        <row r="2333">
          <cell r="A2333">
            <v>45017</v>
          </cell>
          <cell r="B2333" t="str">
            <v>Ayaz Zargar</v>
          </cell>
          <cell r="E2333" t="str">
            <v>RCOGM</v>
          </cell>
          <cell r="F2333" t="str">
            <v>AM</v>
          </cell>
          <cell r="H2333">
            <v>110</v>
          </cell>
          <cell r="I2333">
            <v>16500</v>
          </cell>
          <cell r="K2333">
            <v>1500</v>
          </cell>
        </row>
        <row r="2334">
          <cell r="A2334">
            <v>45017</v>
          </cell>
          <cell r="B2334" t="str">
            <v>Bilal Wani</v>
          </cell>
          <cell r="E2334" t="str">
            <v>RCOGM</v>
          </cell>
          <cell r="F2334" t="str">
            <v>AM</v>
          </cell>
          <cell r="H2334">
            <v>45</v>
          </cell>
          <cell r="I2334">
            <v>5500</v>
          </cell>
          <cell r="K2334">
            <v>500</v>
          </cell>
        </row>
        <row r="2335">
          <cell r="A2335">
            <v>45017</v>
          </cell>
          <cell r="B2335" t="str">
            <v>Danish Shabir</v>
          </cell>
          <cell r="E2335" t="str">
            <v>RCOGM</v>
          </cell>
          <cell r="F2335" t="str">
            <v>AM</v>
          </cell>
          <cell r="H2335">
            <v>110</v>
          </cell>
          <cell r="I2335">
            <v>16500</v>
          </cell>
          <cell r="K2335">
            <v>1500</v>
          </cell>
        </row>
        <row r="2336">
          <cell r="A2336">
            <v>45017</v>
          </cell>
          <cell r="B2336" t="str">
            <v>Mehfooz Mir</v>
          </cell>
          <cell r="E2336" t="str">
            <v>RCOGM</v>
          </cell>
          <cell r="F2336" t="str">
            <v>AM</v>
          </cell>
          <cell r="H2336">
            <v>45</v>
          </cell>
          <cell r="I2336">
            <v>5500</v>
          </cell>
          <cell r="K2336">
            <v>500</v>
          </cell>
        </row>
        <row r="2337">
          <cell r="A2337">
            <v>45017</v>
          </cell>
          <cell r="B2337" t="str">
            <v>Sana Shaikh</v>
          </cell>
          <cell r="E2337" t="str">
            <v>RCOGM</v>
          </cell>
          <cell r="F2337" t="str">
            <v>AM</v>
          </cell>
          <cell r="H2337">
            <v>110</v>
          </cell>
          <cell r="I2337">
            <v>16500</v>
          </cell>
          <cell r="K2337">
            <v>1500</v>
          </cell>
        </row>
        <row r="2338">
          <cell r="A2338">
            <v>45017</v>
          </cell>
          <cell r="B2338" t="str">
            <v>Shabbir Lacewala</v>
          </cell>
          <cell r="E2338" t="str">
            <v>RCOGM</v>
          </cell>
          <cell r="F2338" t="str">
            <v>AM</v>
          </cell>
          <cell r="H2338">
            <v>140</v>
          </cell>
          <cell r="I2338">
            <v>19500</v>
          </cell>
          <cell r="K2338">
            <v>1500</v>
          </cell>
        </row>
        <row r="2339">
          <cell r="A2339">
            <v>45017</v>
          </cell>
          <cell r="B2339" t="str">
            <v>Shadab Sheikh</v>
          </cell>
          <cell r="E2339" t="str">
            <v>RCOGM</v>
          </cell>
          <cell r="F2339" t="str">
            <v>AM</v>
          </cell>
          <cell r="H2339">
            <v>110</v>
          </cell>
          <cell r="I2339">
            <v>16500</v>
          </cell>
          <cell r="K2339">
            <v>1500</v>
          </cell>
        </row>
        <row r="2340">
          <cell r="A2340">
            <v>45017</v>
          </cell>
          <cell r="B2340" t="str">
            <v>Shiraz Niazi</v>
          </cell>
          <cell r="E2340" t="str">
            <v>RCOGM</v>
          </cell>
          <cell r="F2340" t="str">
            <v>AM</v>
          </cell>
          <cell r="H2340">
            <v>110</v>
          </cell>
          <cell r="I2340">
            <v>16500</v>
          </cell>
          <cell r="K2340">
            <v>1500</v>
          </cell>
        </row>
        <row r="2341">
          <cell r="A2341">
            <v>45017</v>
          </cell>
          <cell r="B2341" t="str">
            <v>Imran Malik</v>
          </cell>
          <cell r="E2341" t="str">
            <v>RCOGM</v>
          </cell>
          <cell r="F2341" t="str">
            <v>D</v>
          </cell>
          <cell r="H2341">
            <v>1554</v>
          </cell>
          <cell r="I2341">
            <v>212440</v>
          </cell>
          <cell r="K2341">
            <v>18000</v>
          </cell>
        </row>
        <row r="2342">
          <cell r="A2342">
            <v>45017</v>
          </cell>
          <cell r="B2342" t="str">
            <v>Ahmad Ozdamir</v>
          </cell>
          <cell r="E2342" t="str">
            <v>TME</v>
          </cell>
          <cell r="F2342" t="str">
            <v>AM</v>
          </cell>
          <cell r="H2342">
            <v>125</v>
          </cell>
          <cell r="I2342">
            <v>18686</v>
          </cell>
          <cell r="K2342">
            <v>1423</v>
          </cell>
        </row>
        <row r="2343">
          <cell r="A2343">
            <v>45017</v>
          </cell>
          <cell r="B2343" t="str">
            <v>Ahmed AlShehhi</v>
          </cell>
          <cell r="E2343" t="str">
            <v>TME</v>
          </cell>
          <cell r="F2343" t="str">
            <v>AM</v>
          </cell>
          <cell r="H2343">
            <v>90</v>
          </cell>
          <cell r="I2343">
            <v>15654</v>
          </cell>
          <cell r="K2343">
            <v>723</v>
          </cell>
        </row>
        <row r="2344">
          <cell r="A2344">
            <v>45017</v>
          </cell>
          <cell r="B2344" t="str">
            <v>Amjad Ilwan</v>
          </cell>
          <cell r="E2344" t="str">
            <v>TME</v>
          </cell>
          <cell r="F2344" t="str">
            <v>AM</v>
          </cell>
          <cell r="H2344">
            <v>115</v>
          </cell>
          <cell r="I2344">
            <v>22154</v>
          </cell>
          <cell r="K2344">
            <v>1423</v>
          </cell>
        </row>
        <row r="2345">
          <cell r="A2345">
            <v>45017</v>
          </cell>
          <cell r="B2345" t="str">
            <v>Anastasia Maltseva</v>
          </cell>
          <cell r="E2345" t="str">
            <v>TME</v>
          </cell>
          <cell r="F2345" t="str">
            <v>AM</v>
          </cell>
          <cell r="H2345">
            <v>90</v>
          </cell>
          <cell r="I2345">
            <v>17654</v>
          </cell>
          <cell r="K2345">
            <v>723</v>
          </cell>
        </row>
        <row r="2346">
          <cell r="A2346">
            <v>45017</v>
          </cell>
          <cell r="B2346" t="str">
            <v>Buhari Buhari</v>
          </cell>
          <cell r="E2346" t="str">
            <v>TME</v>
          </cell>
          <cell r="F2346" t="str">
            <v>AM</v>
          </cell>
          <cell r="H2346">
            <v>160</v>
          </cell>
          <cell r="I2346">
            <v>16654</v>
          </cell>
          <cell r="K2346">
            <v>723</v>
          </cell>
        </row>
        <row r="2347">
          <cell r="A2347">
            <v>45017</v>
          </cell>
          <cell r="B2347" t="str">
            <v>Ehab Hajou</v>
          </cell>
          <cell r="E2347" t="str">
            <v>TME</v>
          </cell>
          <cell r="F2347" t="str">
            <v>AM</v>
          </cell>
          <cell r="H2347">
            <v>90</v>
          </cell>
          <cell r="I2347">
            <v>20654</v>
          </cell>
          <cell r="K2347">
            <v>2023</v>
          </cell>
        </row>
        <row r="2348">
          <cell r="A2348">
            <v>45017</v>
          </cell>
          <cell r="B2348" t="str">
            <v>Fadi Saleh</v>
          </cell>
          <cell r="E2348" t="str">
            <v>TME</v>
          </cell>
          <cell r="F2348" t="str">
            <v>AM</v>
          </cell>
          <cell r="H2348">
            <v>70</v>
          </cell>
          <cell r="I2348">
            <v>18654</v>
          </cell>
          <cell r="K2348">
            <v>723</v>
          </cell>
        </row>
        <row r="2349">
          <cell r="A2349">
            <v>45017</v>
          </cell>
          <cell r="B2349" t="str">
            <v>Iqbal Hussain</v>
          </cell>
          <cell r="E2349" t="str">
            <v>TME</v>
          </cell>
          <cell r="F2349" t="str">
            <v>AM</v>
          </cell>
          <cell r="H2349">
            <v>95</v>
          </cell>
          <cell r="I2349">
            <v>21154</v>
          </cell>
          <cell r="K2349">
            <v>1423</v>
          </cell>
        </row>
        <row r="2350">
          <cell r="A2350">
            <v>45017</v>
          </cell>
          <cell r="B2350" t="str">
            <v>Jeevantha Ranasinghe</v>
          </cell>
          <cell r="E2350" t="str">
            <v>TME</v>
          </cell>
          <cell r="F2350" t="str">
            <v>AM</v>
          </cell>
          <cell r="H2350">
            <v>124</v>
          </cell>
          <cell r="I2350">
            <v>28654</v>
          </cell>
          <cell r="K2350">
            <v>2023</v>
          </cell>
        </row>
        <row r="2351">
          <cell r="A2351">
            <v>45017</v>
          </cell>
          <cell r="B2351" t="str">
            <v>Rijith Menon</v>
          </cell>
          <cell r="E2351" t="str">
            <v>TME</v>
          </cell>
          <cell r="F2351" t="str">
            <v>AM</v>
          </cell>
          <cell r="H2351">
            <v>139</v>
          </cell>
          <cell r="I2351">
            <v>27654</v>
          </cell>
          <cell r="K2351">
            <v>2023</v>
          </cell>
        </row>
        <row r="2352">
          <cell r="A2352">
            <v>45017</v>
          </cell>
          <cell r="B2352" t="str">
            <v>Sara Alblooshi</v>
          </cell>
          <cell r="E2352" t="str">
            <v>TME</v>
          </cell>
          <cell r="F2352" t="str">
            <v>AM</v>
          </cell>
          <cell r="H2352">
            <v>80</v>
          </cell>
          <cell r="I2352">
            <v>11654</v>
          </cell>
          <cell r="K2352">
            <v>723</v>
          </cell>
        </row>
        <row r="2353">
          <cell r="A2353">
            <v>45017</v>
          </cell>
          <cell r="B2353" t="str">
            <v>Suleiman Wanni</v>
          </cell>
          <cell r="E2353" t="str">
            <v>TME</v>
          </cell>
          <cell r="F2353" t="str">
            <v>AM</v>
          </cell>
          <cell r="H2353">
            <v>90</v>
          </cell>
          <cell r="I2353">
            <v>24654</v>
          </cell>
          <cell r="K2353">
            <v>2023</v>
          </cell>
        </row>
        <row r="2354">
          <cell r="A2354">
            <v>45017</v>
          </cell>
          <cell r="B2354" t="str">
            <v>Waseem Suhaf</v>
          </cell>
          <cell r="E2354" t="str">
            <v>TME</v>
          </cell>
          <cell r="F2354" t="str">
            <v>AM</v>
          </cell>
          <cell r="H2354">
            <v>125</v>
          </cell>
          <cell r="I2354">
            <v>25654</v>
          </cell>
          <cell r="K2354">
            <v>2023</v>
          </cell>
        </row>
        <row r="2355">
          <cell r="A2355">
            <v>45017</v>
          </cell>
          <cell r="B2355" t="str">
            <v>Hany Jawee</v>
          </cell>
          <cell r="E2355" t="str">
            <v>TME</v>
          </cell>
          <cell r="F2355" t="str">
            <v>D</v>
          </cell>
          <cell r="H2355">
            <v>1393</v>
          </cell>
          <cell r="I2355">
            <v>269532</v>
          </cell>
          <cell r="K2355">
            <v>18000</v>
          </cell>
        </row>
        <row r="2356">
          <cell r="A2356">
            <v>45017</v>
          </cell>
          <cell r="B2356" t="str">
            <v>Humaid Al Ali</v>
          </cell>
          <cell r="E2356" t="str">
            <v>DXB</v>
          </cell>
          <cell r="F2356" t="str">
            <v>AM</v>
          </cell>
          <cell r="H2356">
            <v>50</v>
          </cell>
          <cell r="I2356">
            <v>8000</v>
          </cell>
          <cell r="K2356">
            <v>1875</v>
          </cell>
        </row>
        <row r="2357">
          <cell r="A2357">
            <v>45017</v>
          </cell>
          <cell r="B2357" t="str">
            <v>Mohamed Mady</v>
          </cell>
          <cell r="E2357" t="str">
            <v>DXB</v>
          </cell>
          <cell r="F2357" t="str">
            <v>AM</v>
          </cell>
          <cell r="H2357">
            <v>50</v>
          </cell>
          <cell r="I2357">
            <v>10000</v>
          </cell>
          <cell r="K2357">
            <v>1875</v>
          </cell>
        </row>
        <row r="2358">
          <cell r="A2358">
            <v>45017</v>
          </cell>
          <cell r="B2358" t="str">
            <v>Ramzi Gholmieh</v>
          </cell>
          <cell r="E2358" t="str">
            <v>DXB</v>
          </cell>
          <cell r="F2358" t="str">
            <v>AM</v>
          </cell>
          <cell r="H2358">
            <v>50</v>
          </cell>
          <cell r="I2358">
            <v>17000</v>
          </cell>
          <cell r="K2358">
            <v>1875</v>
          </cell>
        </row>
        <row r="2359">
          <cell r="A2359">
            <v>45017</v>
          </cell>
          <cell r="B2359" t="str">
            <v>Tariq AlAwadhi</v>
          </cell>
          <cell r="E2359" t="str">
            <v>DXB</v>
          </cell>
          <cell r="F2359" t="str">
            <v>AM</v>
          </cell>
          <cell r="H2359">
            <v>50</v>
          </cell>
          <cell r="I2359">
            <v>15000</v>
          </cell>
          <cell r="K2359">
            <v>1875</v>
          </cell>
        </row>
        <row r="2360">
          <cell r="A2360">
            <v>45017</v>
          </cell>
          <cell r="B2360" t="str">
            <v>Mohamad Amer Sibai</v>
          </cell>
          <cell r="E2360" t="str">
            <v>DXB</v>
          </cell>
          <cell r="F2360" t="str">
            <v>D</v>
          </cell>
          <cell r="H2360">
            <v>200</v>
          </cell>
          <cell r="I2360">
            <v>50000</v>
          </cell>
          <cell r="K2360">
            <v>7500</v>
          </cell>
        </row>
        <row r="2361">
          <cell r="A2361">
            <v>45017</v>
          </cell>
          <cell r="B2361" t="str">
            <v>Bader Al Shehhi</v>
          </cell>
          <cell r="E2361" t="str">
            <v>F-NE</v>
          </cell>
          <cell r="F2361" t="str">
            <v>AM</v>
          </cell>
          <cell r="H2361">
            <v>20</v>
          </cell>
          <cell r="I2361">
            <v>17000</v>
          </cell>
          <cell r="K2361">
            <v>2500</v>
          </cell>
        </row>
        <row r="2362">
          <cell r="A2362">
            <v>45017</v>
          </cell>
          <cell r="B2362" t="str">
            <v>Majd Nairoukh</v>
          </cell>
          <cell r="E2362" t="str">
            <v>F-NE</v>
          </cell>
          <cell r="F2362" t="str">
            <v>AM</v>
          </cell>
          <cell r="H2362">
            <v>20</v>
          </cell>
          <cell r="I2362">
            <v>15000</v>
          </cell>
          <cell r="K2362">
            <v>600</v>
          </cell>
        </row>
        <row r="2363">
          <cell r="A2363">
            <v>45017</v>
          </cell>
          <cell r="B2363" t="str">
            <v>Nader AlMustafa</v>
          </cell>
          <cell r="E2363" t="str">
            <v>F-NE</v>
          </cell>
          <cell r="F2363" t="str">
            <v>AM</v>
          </cell>
          <cell r="H2363">
            <v>40</v>
          </cell>
          <cell r="I2363">
            <v>7000</v>
          </cell>
          <cell r="K2363">
            <v>1900</v>
          </cell>
        </row>
        <row r="2364">
          <cell r="A2364">
            <v>45017</v>
          </cell>
          <cell r="B2364" t="str">
            <v>Yousef Al Baloushi</v>
          </cell>
          <cell r="E2364" t="str">
            <v>F-NE</v>
          </cell>
          <cell r="F2364" t="str">
            <v>AM</v>
          </cell>
          <cell r="H2364">
            <v>20</v>
          </cell>
          <cell r="I2364">
            <v>11000</v>
          </cell>
          <cell r="K2364">
            <v>2500</v>
          </cell>
        </row>
        <row r="2365">
          <cell r="A2365">
            <v>45017</v>
          </cell>
          <cell r="B2365" t="str">
            <v>Khaled Alawadi</v>
          </cell>
          <cell r="E2365" t="str">
            <v>F-NE</v>
          </cell>
          <cell r="F2365" t="str">
            <v>D</v>
          </cell>
          <cell r="H2365">
            <v>100</v>
          </cell>
          <cell r="I2365">
            <v>50000</v>
          </cell>
          <cell r="K2365">
            <v>7500</v>
          </cell>
        </row>
        <row r="2366">
          <cell r="A2366">
            <v>45017</v>
          </cell>
          <cell r="B2366" t="str">
            <v>Abdel Azim Sharabati</v>
          </cell>
          <cell r="E2366" t="str">
            <v>KA</v>
          </cell>
          <cell r="F2366" t="str">
            <v>AM</v>
          </cell>
          <cell r="H2366">
            <v>90</v>
          </cell>
          <cell r="I2366">
            <v>21000</v>
          </cell>
          <cell r="K2366">
            <v>1250</v>
          </cell>
        </row>
        <row r="2367">
          <cell r="A2367">
            <v>45017</v>
          </cell>
          <cell r="B2367" t="str">
            <v>Abraham Cherian</v>
          </cell>
          <cell r="E2367" t="str">
            <v>KA</v>
          </cell>
          <cell r="F2367" t="str">
            <v>AM</v>
          </cell>
          <cell r="H2367">
            <v>90</v>
          </cell>
          <cell r="I2367">
            <v>30000</v>
          </cell>
          <cell r="K2367">
            <v>1250</v>
          </cell>
        </row>
        <row r="2368">
          <cell r="A2368">
            <v>45017</v>
          </cell>
          <cell r="B2368" t="str">
            <v>Arjun Subaraman</v>
          </cell>
          <cell r="E2368" t="str">
            <v>KA</v>
          </cell>
          <cell r="F2368" t="str">
            <v>AM</v>
          </cell>
          <cell r="H2368">
            <v>70</v>
          </cell>
          <cell r="I2368">
            <v>46000</v>
          </cell>
          <cell r="K2368">
            <v>1250</v>
          </cell>
        </row>
        <row r="2369">
          <cell r="A2369">
            <v>45017</v>
          </cell>
          <cell r="B2369" t="str">
            <v>Ghassan Fouany</v>
          </cell>
          <cell r="E2369" t="str">
            <v>KA</v>
          </cell>
          <cell r="F2369" t="str">
            <v>AM</v>
          </cell>
          <cell r="H2369">
            <v>80</v>
          </cell>
          <cell r="I2369">
            <v>16000</v>
          </cell>
          <cell r="K2369">
            <v>1250</v>
          </cell>
        </row>
        <row r="2370">
          <cell r="A2370">
            <v>45017</v>
          </cell>
          <cell r="B2370" t="str">
            <v>Inayat Fazili</v>
          </cell>
          <cell r="E2370" t="str">
            <v>KA</v>
          </cell>
          <cell r="F2370" t="str">
            <v>AM</v>
          </cell>
          <cell r="H2370">
            <v>90</v>
          </cell>
          <cell r="I2370">
            <v>20000</v>
          </cell>
          <cell r="K2370">
            <v>1250</v>
          </cell>
        </row>
        <row r="2371">
          <cell r="A2371">
            <v>45017</v>
          </cell>
          <cell r="B2371" t="str">
            <v>Mohd Sheikh Salem</v>
          </cell>
          <cell r="E2371" t="str">
            <v>KA</v>
          </cell>
          <cell r="F2371" t="str">
            <v>AM</v>
          </cell>
          <cell r="H2371">
            <v>80</v>
          </cell>
          <cell r="I2371">
            <v>17000</v>
          </cell>
          <cell r="K2371">
            <v>1250</v>
          </cell>
        </row>
        <row r="2372">
          <cell r="A2372">
            <v>45017</v>
          </cell>
          <cell r="B2372" t="str">
            <v>Mazen Adem</v>
          </cell>
          <cell r="E2372" t="str">
            <v>KA</v>
          </cell>
          <cell r="F2372" t="str">
            <v>D</v>
          </cell>
          <cell r="H2372">
            <v>500</v>
          </cell>
          <cell r="I2372">
            <v>150000</v>
          </cell>
          <cell r="K2372">
            <v>7500</v>
          </cell>
        </row>
        <row r="2373">
          <cell r="A2373">
            <v>45017</v>
          </cell>
          <cell r="B2373" t="str">
            <v>Abdulla Alhashmi</v>
          </cell>
          <cell r="E2373" t="str">
            <v>KA-AUH</v>
          </cell>
          <cell r="F2373" t="str">
            <v>AM</v>
          </cell>
          <cell r="H2373">
            <v>20</v>
          </cell>
          <cell r="I2373">
            <v>15000</v>
          </cell>
          <cell r="K2373">
            <v>1000</v>
          </cell>
        </row>
        <row r="2374">
          <cell r="A2374">
            <v>45017</v>
          </cell>
          <cell r="B2374" t="str">
            <v>Ammar Alqudsi</v>
          </cell>
          <cell r="E2374" t="str">
            <v>KA-AUH</v>
          </cell>
          <cell r="F2374" t="str">
            <v>AM</v>
          </cell>
          <cell r="H2374">
            <v>50</v>
          </cell>
          <cell r="I2374">
            <v>20000</v>
          </cell>
          <cell r="K2374">
            <v>1100</v>
          </cell>
        </row>
        <row r="2375">
          <cell r="A2375">
            <v>45017</v>
          </cell>
          <cell r="B2375" t="str">
            <v>Humaid Almaazmi</v>
          </cell>
          <cell r="E2375" t="str">
            <v>KA-AUH</v>
          </cell>
          <cell r="F2375" t="str">
            <v>AM</v>
          </cell>
          <cell r="H2375">
            <v>25</v>
          </cell>
          <cell r="I2375">
            <v>18000</v>
          </cell>
          <cell r="K2375">
            <v>800</v>
          </cell>
        </row>
        <row r="2376">
          <cell r="A2376">
            <v>45017</v>
          </cell>
          <cell r="B2376" t="str">
            <v>Khamis Almakrani</v>
          </cell>
          <cell r="E2376" t="str">
            <v>KA-AUH</v>
          </cell>
          <cell r="F2376" t="str">
            <v>AM</v>
          </cell>
          <cell r="H2376">
            <v>5</v>
          </cell>
          <cell r="I2376">
            <v>11000</v>
          </cell>
          <cell r="K2376">
            <v>900</v>
          </cell>
        </row>
        <row r="2377">
          <cell r="A2377">
            <v>45017</v>
          </cell>
          <cell r="B2377" t="str">
            <v>Omar AlHammadi</v>
          </cell>
          <cell r="E2377" t="str">
            <v>KA-AUH</v>
          </cell>
          <cell r="F2377" t="str">
            <v>AM</v>
          </cell>
          <cell r="H2377">
            <v>25</v>
          </cell>
          <cell r="I2377">
            <v>11000</v>
          </cell>
          <cell r="K2377">
            <v>700</v>
          </cell>
        </row>
        <row r="2378">
          <cell r="A2378">
            <v>45017</v>
          </cell>
          <cell r="B2378" t="str">
            <v>Osman Basuleman</v>
          </cell>
          <cell r="E2378" t="str">
            <v>KA-AUH</v>
          </cell>
          <cell r="F2378" t="str">
            <v>AM</v>
          </cell>
          <cell r="H2378">
            <v>25</v>
          </cell>
          <cell r="I2378">
            <v>15000</v>
          </cell>
          <cell r="K2378">
            <v>900</v>
          </cell>
        </row>
        <row r="2379">
          <cell r="A2379">
            <v>45017</v>
          </cell>
          <cell r="B2379" t="str">
            <v>Tarek Solh</v>
          </cell>
          <cell r="E2379" t="str">
            <v>KA-AUH</v>
          </cell>
          <cell r="F2379" t="str">
            <v>AM</v>
          </cell>
          <cell r="H2379">
            <v>30</v>
          </cell>
          <cell r="I2379">
            <v>45000</v>
          </cell>
          <cell r="K2379">
            <v>1300</v>
          </cell>
        </row>
        <row r="2380">
          <cell r="A2380">
            <v>45017</v>
          </cell>
          <cell r="B2380" t="str">
            <v>Yousef Alhosani</v>
          </cell>
          <cell r="E2380" t="str">
            <v>KA-AUH</v>
          </cell>
          <cell r="F2380" t="str">
            <v>AM</v>
          </cell>
          <cell r="H2380">
            <v>20</v>
          </cell>
          <cell r="I2380">
            <v>15000</v>
          </cell>
          <cell r="K2380">
            <v>800</v>
          </cell>
        </row>
        <row r="2381">
          <cell r="A2381">
            <v>45017</v>
          </cell>
          <cell r="B2381" t="str">
            <v>Khalid Karmastaji</v>
          </cell>
          <cell r="E2381" t="str">
            <v>KA-AUH</v>
          </cell>
          <cell r="F2381" t="str">
            <v>D</v>
          </cell>
          <cell r="H2381">
            <v>200</v>
          </cell>
          <cell r="I2381">
            <v>150000</v>
          </cell>
          <cell r="K2381">
            <v>7500</v>
          </cell>
        </row>
        <row r="2382">
          <cell r="A2382">
            <v>45047</v>
          </cell>
          <cell r="B2382" t="str">
            <v>Humaid Al Ali</v>
          </cell>
          <cell r="E2382" t="str">
            <v>DXB</v>
          </cell>
          <cell r="F2382" t="str">
            <v>AM</v>
          </cell>
          <cell r="H2382">
            <v>50</v>
          </cell>
          <cell r="I2382">
            <v>26500</v>
          </cell>
          <cell r="K2382">
            <v>1875</v>
          </cell>
        </row>
        <row r="2383">
          <cell r="A2383">
            <v>45047</v>
          </cell>
          <cell r="B2383" t="str">
            <v>Mohamed Mady</v>
          </cell>
          <cell r="E2383" t="str">
            <v>DXB</v>
          </cell>
          <cell r="F2383" t="str">
            <v>AM</v>
          </cell>
          <cell r="H2383">
            <v>50</v>
          </cell>
          <cell r="I2383">
            <v>20000</v>
          </cell>
          <cell r="K2383">
            <v>1875</v>
          </cell>
        </row>
        <row r="2384">
          <cell r="A2384">
            <v>45047</v>
          </cell>
          <cell r="B2384" t="str">
            <v>Muhannad Allow</v>
          </cell>
          <cell r="E2384" t="str">
            <v>DXB</v>
          </cell>
          <cell r="F2384" t="str">
            <v>AM</v>
          </cell>
        </row>
        <row r="2385">
          <cell r="A2385">
            <v>45047</v>
          </cell>
          <cell r="B2385" t="str">
            <v>Ramzi Gholmieh</v>
          </cell>
          <cell r="E2385" t="str">
            <v>DXB</v>
          </cell>
          <cell r="F2385" t="str">
            <v>AM</v>
          </cell>
          <cell r="H2385">
            <v>50</v>
          </cell>
          <cell r="I2385">
            <v>27000</v>
          </cell>
          <cell r="K2385">
            <v>1875</v>
          </cell>
        </row>
        <row r="2386">
          <cell r="A2386">
            <v>45047</v>
          </cell>
          <cell r="B2386" t="str">
            <v>Tariq AlAwadhi</v>
          </cell>
          <cell r="E2386" t="str">
            <v>DXB</v>
          </cell>
          <cell r="F2386" t="str">
            <v>AM</v>
          </cell>
          <cell r="H2386">
            <v>50</v>
          </cell>
          <cell r="I2386">
            <v>26500</v>
          </cell>
          <cell r="K2386">
            <v>1875</v>
          </cell>
        </row>
        <row r="2387">
          <cell r="A2387">
            <v>45047</v>
          </cell>
          <cell r="B2387" t="str">
            <v>Mohamad Amer Sibai</v>
          </cell>
          <cell r="E2387" t="str">
            <v>DXB</v>
          </cell>
          <cell r="F2387" t="str">
            <v>D</v>
          </cell>
          <cell r="H2387">
            <v>200</v>
          </cell>
          <cell r="I2387">
            <v>100000</v>
          </cell>
          <cell r="K2387">
            <v>7500</v>
          </cell>
        </row>
        <row r="2388">
          <cell r="A2388">
            <v>45047</v>
          </cell>
          <cell r="B2388" t="str">
            <v>Bader Al Shehhi</v>
          </cell>
          <cell r="E2388" t="str">
            <v>F-NE</v>
          </cell>
          <cell r="F2388" t="str">
            <v>AM</v>
          </cell>
          <cell r="H2388">
            <v>25</v>
          </cell>
          <cell r="I2388">
            <v>12500</v>
          </cell>
          <cell r="K2388">
            <v>2500</v>
          </cell>
        </row>
        <row r="2389">
          <cell r="A2389">
            <v>45047</v>
          </cell>
          <cell r="B2389" t="str">
            <v>Majd Nairoukh</v>
          </cell>
          <cell r="E2389" t="str">
            <v>F-NE</v>
          </cell>
          <cell r="F2389" t="str">
            <v>AM</v>
          </cell>
          <cell r="H2389">
            <v>25</v>
          </cell>
          <cell r="I2389">
            <v>12500</v>
          </cell>
          <cell r="K2389">
            <v>600</v>
          </cell>
        </row>
        <row r="2390">
          <cell r="A2390">
            <v>45047</v>
          </cell>
          <cell r="B2390" t="str">
            <v>Nader AlMustafa</v>
          </cell>
          <cell r="E2390" t="str">
            <v>F-NE</v>
          </cell>
          <cell r="F2390" t="str">
            <v>AM</v>
          </cell>
          <cell r="H2390">
            <v>75</v>
          </cell>
          <cell r="I2390">
            <v>46500</v>
          </cell>
          <cell r="K2390">
            <v>1900</v>
          </cell>
        </row>
        <row r="2391">
          <cell r="A2391">
            <v>45047</v>
          </cell>
          <cell r="B2391" t="str">
            <v>Yousef Al Baloushi</v>
          </cell>
          <cell r="E2391" t="str">
            <v>F-NE</v>
          </cell>
          <cell r="F2391" t="str">
            <v>AM</v>
          </cell>
          <cell r="H2391">
            <v>25</v>
          </cell>
          <cell r="I2391">
            <v>12500</v>
          </cell>
          <cell r="K2391">
            <v>2500</v>
          </cell>
        </row>
        <row r="2392">
          <cell r="A2392">
            <v>45047</v>
          </cell>
          <cell r="B2392" t="str">
            <v>Khaled Alawadi</v>
          </cell>
          <cell r="E2392" t="str">
            <v>F-NE</v>
          </cell>
          <cell r="F2392" t="str">
            <v>D</v>
          </cell>
          <cell r="H2392">
            <v>150</v>
          </cell>
          <cell r="I2392">
            <v>84000</v>
          </cell>
          <cell r="K2392">
            <v>7500</v>
          </cell>
        </row>
        <row r="2393">
          <cell r="A2393">
            <v>45047</v>
          </cell>
          <cell r="B2393" t="str">
            <v>Abdel Azim Sharabati</v>
          </cell>
          <cell r="E2393" t="str">
            <v>KA</v>
          </cell>
          <cell r="F2393" t="str">
            <v>AM</v>
          </cell>
          <cell r="H2393">
            <v>50</v>
          </cell>
          <cell r="I2393">
            <v>53000</v>
          </cell>
          <cell r="K2393">
            <v>1250</v>
          </cell>
        </row>
        <row r="2394">
          <cell r="A2394">
            <v>45047</v>
          </cell>
          <cell r="B2394" t="str">
            <v>Abraham Cherian</v>
          </cell>
          <cell r="E2394" t="str">
            <v>KA</v>
          </cell>
          <cell r="F2394" t="str">
            <v>AM</v>
          </cell>
          <cell r="H2394">
            <v>50</v>
          </cell>
          <cell r="I2394">
            <v>65000</v>
          </cell>
          <cell r="K2394">
            <v>1250</v>
          </cell>
        </row>
        <row r="2395">
          <cell r="A2395">
            <v>45047</v>
          </cell>
          <cell r="B2395" t="str">
            <v>Arjun Subaraman</v>
          </cell>
          <cell r="E2395" t="str">
            <v>KA</v>
          </cell>
          <cell r="F2395" t="str">
            <v>AM</v>
          </cell>
          <cell r="H2395">
            <v>100</v>
          </cell>
          <cell r="I2395">
            <v>15000</v>
          </cell>
          <cell r="K2395">
            <v>1250</v>
          </cell>
        </row>
        <row r="2396">
          <cell r="A2396">
            <v>45047</v>
          </cell>
          <cell r="B2396" t="str">
            <v>Ghassan Fouany</v>
          </cell>
          <cell r="E2396" t="str">
            <v>KA</v>
          </cell>
          <cell r="F2396" t="str">
            <v>AM</v>
          </cell>
          <cell r="H2396">
            <v>175</v>
          </cell>
          <cell r="I2396">
            <v>15000</v>
          </cell>
          <cell r="K2396">
            <v>1250</v>
          </cell>
        </row>
        <row r="2397">
          <cell r="A2397">
            <v>45047</v>
          </cell>
          <cell r="B2397" t="str">
            <v>Inayat Fazili</v>
          </cell>
          <cell r="E2397" t="str">
            <v>KA</v>
          </cell>
          <cell r="F2397" t="str">
            <v>AM</v>
          </cell>
          <cell r="H2397">
            <v>100</v>
          </cell>
          <cell r="I2397">
            <v>16000</v>
          </cell>
          <cell r="K2397">
            <v>1250</v>
          </cell>
        </row>
        <row r="2398">
          <cell r="A2398">
            <v>45047</v>
          </cell>
          <cell r="B2398" t="str">
            <v>Mohd Sheikh Salem</v>
          </cell>
          <cell r="E2398" t="str">
            <v>KA</v>
          </cell>
          <cell r="F2398" t="str">
            <v>AM</v>
          </cell>
          <cell r="H2398">
            <v>75</v>
          </cell>
          <cell r="I2398">
            <v>20000</v>
          </cell>
          <cell r="K2398">
            <v>1250</v>
          </cell>
        </row>
        <row r="2399">
          <cell r="A2399">
            <v>45047</v>
          </cell>
          <cell r="B2399" t="str">
            <v>Mazen Adem</v>
          </cell>
          <cell r="E2399" t="str">
            <v>KA</v>
          </cell>
          <cell r="F2399" t="str">
            <v>D</v>
          </cell>
          <cell r="H2399">
            <v>550</v>
          </cell>
          <cell r="I2399">
            <v>184000</v>
          </cell>
          <cell r="K2399">
            <v>7500</v>
          </cell>
        </row>
        <row r="2400">
          <cell r="A2400">
            <v>45047</v>
          </cell>
          <cell r="B2400" t="str">
            <v>Abdulla Alhashmi</v>
          </cell>
          <cell r="E2400" t="str">
            <v>KA-AUH</v>
          </cell>
          <cell r="F2400" t="str">
            <v>AM</v>
          </cell>
          <cell r="H2400">
            <v>30</v>
          </cell>
          <cell r="I2400">
            <v>13000</v>
          </cell>
          <cell r="K2400">
            <v>850</v>
          </cell>
        </row>
        <row r="2401">
          <cell r="A2401">
            <v>45047</v>
          </cell>
          <cell r="B2401" t="str">
            <v>Ammar Alqudsi</v>
          </cell>
          <cell r="E2401" t="str">
            <v>KA-AUH</v>
          </cell>
          <cell r="F2401" t="str">
            <v>AM</v>
          </cell>
          <cell r="H2401">
            <v>35</v>
          </cell>
          <cell r="I2401">
            <v>15000</v>
          </cell>
          <cell r="K2401">
            <v>1550</v>
          </cell>
        </row>
        <row r="2402">
          <cell r="A2402">
            <v>45047</v>
          </cell>
          <cell r="B2402" t="str">
            <v>Humaid Almaazmi</v>
          </cell>
          <cell r="E2402" t="str">
            <v>KA-AUH</v>
          </cell>
          <cell r="F2402" t="str">
            <v>AM</v>
          </cell>
          <cell r="H2402">
            <v>35</v>
          </cell>
          <cell r="I2402">
            <v>15000</v>
          </cell>
          <cell r="K2402">
            <v>850</v>
          </cell>
        </row>
        <row r="2403">
          <cell r="A2403">
            <v>45047</v>
          </cell>
          <cell r="B2403" t="str">
            <v>Khamis Almakrani</v>
          </cell>
          <cell r="E2403" t="str">
            <v>KA-AUH</v>
          </cell>
          <cell r="F2403" t="str">
            <v>AM</v>
          </cell>
          <cell r="H2403">
            <v>35</v>
          </cell>
          <cell r="I2403">
            <v>15000</v>
          </cell>
          <cell r="K2403">
            <v>850</v>
          </cell>
        </row>
        <row r="2404">
          <cell r="A2404">
            <v>45047</v>
          </cell>
          <cell r="B2404" t="str">
            <v>Omar AlHammadi</v>
          </cell>
          <cell r="E2404" t="str">
            <v>KA-AUH</v>
          </cell>
          <cell r="F2404" t="str">
            <v>AM</v>
          </cell>
          <cell r="H2404">
            <v>35</v>
          </cell>
          <cell r="I2404">
            <v>13000</v>
          </cell>
          <cell r="K2404">
            <v>850</v>
          </cell>
        </row>
        <row r="2405">
          <cell r="A2405">
            <v>45047</v>
          </cell>
          <cell r="B2405" t="str">
            <v>Osman Basuleman</v>
          </cell>
          <cell r="E2405" t="str">
            <v>KA-AUH</v>
          </cell>
          <cell r="F2405" t="str">
            <v>AM</v>
          </cell>
          <cell r="H2405">
            <v>35</v>
          </cell>
          <cell r="I2405">
            <v>14000</v>
          </cell>
          <cell r="K2405">
            <v>850</v>
          </cell>
        </row>
        <row r="2406">
          <cell r="A2406">
            <v>45047</v>
          </cell>
          <cell r="B2406" t="str">
            <v>Tarek Solh</v>
          </cell>
          <cell r="E2406" t="str">
            <v>KA-AUH</v>
          </cell>
          <cell r="F2406" t="str">
            <v>AM</v>
          </cell>
          <cell r="H2406">
            <v>110</v>
          </cell>
          <cell r="I2406">
            <v>50000</v>
          </cell>
          <cell r="K2406">
            <v>850</v>
          </cell>
        </row>
        <row r="2407">
          <cell r="A2407">
            <v>45047</v>
          </cell>
          <cell r="B2407" t="str">
            <v>Yousef Alhosani</v>
          </cell>
          <cell r="E2407" t="str">
            <v>KA-AUH</v>
          </cell>
          <cell r="F2407" t="str">
            <v>AM</v>
          </cell>
          <cell r="H2407">
            <v>35</v>
          </cell>
          <cell r="I2407">
            <v>15000</v>
          </cell>
          <cell r="K2407">
            <v>850</v>
          </cell>
        </row>
        <row r="2408">
          <cell r="A2408">
            <v>45047</v>
          </cell>
          <cell r="B2408" t="str">
            <v>Khalid Karmastaji</v>
          </cell>
          <cell r="E2408" t="str">
            <v>KA-AUH</v>
          </cell>
          <cell r="F2408" t="str">
            <v>D</v>
          </cell>
          <cell r="H2408">
            <v>350</v>
          </cell>
          <cell r="I2408">
            <v>150000</v>
          </cell>
          <cell r="K2408">
            <v>7500</v>
          </cell>
        </row>
        <row r="2409">
          <cell r="A2409">
            <v>45047</v>
          </cell>
          <cell r="B2409" t="str">
            <v>Eslam Hassan</v>
          </cell>
          <cell r="E2409" t="str">
            <v>FCR</v>
          </cell>
          <cell r="F2409" t="str">
            <v>AM</v>
          </cell>
          <cell r="H2409">
            <v>146</v>
          </cell>
          <cell r="I2409">
            <v>23000</v>
          </cell>
          <cell r="K2409">
            <v>1500</v>
          </cell>
        </row>
        <row r="2410">
          <cell r="A2410">
            <v>45047</v>
          </cell>
          <cell r="B2410" t="str">
            <v>Mohamad Labban</v>
          </cell>
          <cell r="E2410" t="str">
            <v>FCR</v>
          </cell>
          <cell r="F2410" t="str">
            <v>AM</v>
          </cell>
          <cell r="H2410">
            <v>146</v>
          </cell>
          <cell r="I2410">
            <v>23000</v>
          </cell>
          <cell r="K2410">
            <v>1500</v>
          </cell>
        </row>
        <row r="2411">
          <cell r="A2411">
            <v>45047</v>
          </cell>
          <cell r="B2411" t="str">
            <v>Mohamed Kishk</v>
          </cell>
          <cell r="E2411" t="str">
            <v>FCR</v>
          </cell>
          <cell r="F2411" t="str">
            <v>AM</v>
          </cell>
          <cell r="H2411">
            <v>146</v>
          </cell>
          <cell r="I2411">
            <v>23000</v>
          </cell>
          <cell r="K2411">
            <v>1500</v>
          </cell>
        </row>
        <row r="2412">
          <cell r="A2412">
            <v>45047</v>
          </cell>
          <cell r="B2412" t="str">
            <v>Mohamed Mostafa</v>
          </cell>
          <cell r="E2412" t="str">
            <v>FCR</v>
          </cell>
          <cell r="F2412" t="str">
            <v>AM</v>
          </cell>
          <cell r="H2412">
            <v>146</v>
          </cell>
          <cell r="I2412">
            <v>23000</v>
          </cell>
          <cell r="K2412">
            <v>1500</v>
          </cell>
        </row>
        <row r="2413">
          <cell r="A2413">
            <v>45047</v>
          </cell>
          <cell r="B2413" t="str">
            <v>Muhammad Ismail</v>
          </cell>
          <cell r="E2413" t="str">
            <v>FCR</v>
          </cell>
          <cell r="F2413" t="str">
            <v>AM</v>
          </cell>
          <cell r="H2413">
            <v>146</v>
          </cell>
          <cell r="I2413">
            <v>23000</v>
          </cell>
          <cell r="K2413">
            <v>1500</v>
          </cell>
        </row>
        <row r="2414">
          <cell r="A2414">
            <v>45047</v>
          </cell>
          <cell r="B2414" t="str">
            <v>Nadeem Rasheed</v>
          </cell>
          <cell r="E2414" t="str">
            <v>FCR</v>
          </cell>
          <cell r="F2414" t="str">
            <v>AM</v>
          </cell>
          <cell r="H2414">
            <v>146</v>
          </cell>
          <cell r="I2414">
            <v>25000</v>
          </cell>
          <cell r="K2414">
            <v>1500</v>
          </cell>
        </row>
        <row r="2415">
          <cell r="A2415">
            <v>45047</v>
          </cell>
          <cell r="B2415" t="str">
            <v>Othman Hassan</v>
          </cell>
          <cell r="E2415" t="str">
            <v>FCR</v>
          </cell>
          <cell r="F2415" t="str">
            <v>AM</v>
          </cell>
          <cell r="H2415">
            <v>146</v>
          </cell>
          <cell r="I2415">
            <v>25000</v>
          </cell>
          <cell r="K2415">
            <v>1500</v>
          </cell>
        </row>
        <row r="2416">
          <cell r="A2416">
            <v>45047</v>
          </cell>
          <cell r="B2416" t="str">
            <v>Peter Sedrak</v>
          </cell>
          <cell r="E2416" t="str">
            <v>FCR</v>
          </cell>
          <cell r="F2416" t="str">
            <v>AM</v>
          </cell>
          <cell r="H2416">
            <v>146</v>
          </cell>
          <cell r="I2416">
            <v>20000</v>
          </cell>
          <cell r="K2416">
            <v>1500</v>
          </cell>
        </row>
        <row r="2417">
          <cell r="A2417">
            <v>45047</v>
          </cell>
          <cell r="B2417" t="str">
            <v>Ranjith Chandran</v>
          </cell>
          <cell r="E2417" t="str">
            <v>FCR</v>
          </cell>
          <cell r="F2417" t="str">
            <v>AM</v>
          </cell>
          <cell r="H2417">
            <v>146</v>
          </cell>
          <cell r="I2417">
            <v>23000</v>
          </cell>
          <cell r="K2417">
            <v>1500</v>
          </cell>
        </row>
        <row r="2418">
          <cell r="A2418">
            <v>45047</v>
          </cell>
          <cell r="B2418" t="str">
            <v>Simon Williams</v>
          </cell>
          <cell r="E2418" t="str">
            <v>FCR</v>
          </cell>
          <cell r="F2418" t="str">
            <v>AM</v>
          </cell>
          <cell r="H2418">
            <v>146</v>
          </cell>
          <cell r="I2418">
            <v>23000</v>
          </cell>
          <cell r="K2418">
            <v>1500</v>
          </cell>
        </row>
        <row r="2419">
          <cell r="A2419">
            <v>45047</v>
          </cell>
          <cell r="B2419" t="str">
            <v>Syed Naqvi</v>
          </cell>
          <cell r="E2419" t="str">
            <v>FCR</v>
          </cell>
          <cell r="F2419" t="str">
            <v>AM</v>
          </cell>
          <cell r="H2419">
            <v>145</v>
          </cell>
          <cell r="I2419">
            <v>17901</v>
          </cell>
          <cell r="K2419">
            <v>1500</v>
          </cell>
        </row>
        <row r="2420">
          <cell r="A2420">
            <v>45047</v>
          </cell>
          <cell r="B2420" t="str">
            <v>Usman Zafar Sipra</v>
          </cell>
          <cell r="E2420" t="str">
            <v>FCR</v>
          </cell>
          <cell r="F2420" t="str">
            <v>AM</v>
          </cell>
          <cell r="H2420">
            <v>146</v>
          </cell>
          <cell r="I2420">
            <v>17901</v>
          </cell>
          <cell r="K2420">
            <v>1500</v>
          </cell>
        </row>
        <row r="2421">
          <cell r="A2421">
            <v>45047</v>
          </cell>
          <cell r="B2421" t="str">
            <v>Muhammad Shahzad Hasan</v>
          </cell>
          <cell r="E2421" t="str">
            <v>FCR</v>
          </cell>
          <cell r="F2421" t="str">
            <v>D</v>
          </cell>
          <cell r="H2421">
            <v>1750.8907543834466</v>
          </cell>
          <cell r="I2421">
            <v>266801.984</v>
          </cell>
          <cell r="K2421">
            <v>18000</v>
          </cell>
        </row>
        <row r="2422">
          <cell r="A2422">
            <v>45047</v>
          </cell>
          <cell r="B2422" t="str">
            <v>Bashar Al Adilee</v>
          </cell>
          <cell r="E2422" t="str">
            <v>HHTT</v>
          </cell>
          <cell r="F2422" t="str">
            <v>AM</v>
          </cell>
          <cell r="H2422">
            <v>122</v>
          </cell>
          <cell r="I2422">
            <v>28250</v>
          </cell>
          <cell r="K2422">
            <v>1800</v>
          </cell>
        </row>
        <row r="2423">
          <cell r="A2423">
            <v>45047</v>
          </cell>
          <cell r="B2423" t="str">
            <v>Favas Kurinhilayil</v>
          </cell>
          <cell r="E2423" t="str">
            <v>HHTT</v>
          </cell>
          <cell r="F2423" t="str">
            <v>AM</v>
          </cell>
          <cell r="H2423">
            <v>122</v>
          </cell>
          <cell r="I2423">
            <v>28247</v>
          </cell>
          <cell r="K2423">
            <v>1800</v>
          </cell>
        </row>
        <row r="2424">
          <cell r="A2424">
            <v>45047</v>
          </cell>
          <cell r="B2424" t="str">
            <v>Junaid Warris</v>
          </cell>
          <cell r="E2424" t="str">
            <v>HHTT</v>
          </cell>
          <cell r="F2424" t="str">
            <v>AM</v>
          </cell>
          <cell r="H2424">
            <v>122</v>
          </cell>
          <cell r="I2424">
            <v>28247</v>
          </cell>
          <cell r="K2424">
            <v>1800</v>
          </cell>
        </row>
        <row r="2425">
          <cell r="A2425">
            <v>45047</v>
          </cell>
          <cell r="B2425" t="str">
            <v>Khalid Mohammed</v>
          </cell>
          <cell r="E2425" t="str">
            <v>HHTT</v>
          </cell>
          <cell r="F2425" t="str">
            <v>AM</v>
          </cell>
          <cell r="H2425">
            <v>122</v>
          </cell>
          <cell r="I2425">
            <v>28247</v>
          </cell>
          <cell r="K2425">
            <v>1800</v>
          </cell>
        </row>
        <row r="2426">
          <cell r="A2426">
            <v>45047</v>
          </cell>
          <cell r="B2426" t="str">
            <v>Khaled Abdelaziz</v>
          </cell>
          <cell r="E2426" t="str">
            <v>HHTT</v>
          </cell>
          <cell r="F2426" t="str">
            <v>AM</v>
          </cell>
          <cell r="H2426">
            <v>122</v>
          </cell>
          <cell r="I2426">
            <v>28247</v>
          </cell>
          <cell r="K2426">
            <v>1800</v>
          </cell>
        </row>
        <row r="2427">
          <cell r="A2427">
            <v>45047</v>
          </cell>
          <cell r="B2427" t="str">
            <v>Muhammad Nauman Khan</v>
          </cell>
          <cell r="E2427" t="str">
            <v>HHTT</v>
          </cell>
          <cell r="F2427" t="str">
            <v>AM</v>
          </cell>
          <cell r="H2427">
            <v>122</v>
          </cell>
          <cell r="I2427">
            <v>28247</v>
          </cell>
          <cell r="K2427">
            <v>1800</v>
          </cell>
        </row>
        <row r="2428">
          <cell r="A2428">
            <v>45047</v>
          </cell>
          <cell r="B2428" t="str">
            <v>Mushahid Hussain Syed</v>
          </cell>
          <cell r="E2428" t="str">
            <v>HHTT</v>
          </cell>
          <cell r="F2428" t="str">
            <v>AM</v>
          </cell>
          <cell r="H2428">
            <v>122</v>
          </cell>
          <cell r="I2428">
            <v>28247</v>
          </cell>
          <cell r="K2428">
            <v>1800</v>
          </cell>
        </row>
        <row r="2429">
          <cell r="A2429">
            <v>45047</v>
          </cell>
          <cell r="B2429" t="str">
            <v>Osama ElWawi</v>
          </cell>
          <cell r="E2429" t="str">
            <v>HHTT</v>
          </cell>
          <cell r="F2429" t="str">
            <v>AM</v>
          </cell>
          <cell r="H2429">
            <v>117</v>
          </cell>
          <cell r="I2429">
            <v>35000</v>
          </cell>
          <cell r="K2429">
            <v>1800</v>
          </cell>
        </row>
        <row r="2430">
          <cell r="A2430">
            <v>45047</v>
          </cell>
          <cell r="B2430" t="str">
            <v>Ramy Abdel Fattah</v>
          </cell>
          <cell r="E2430" t="str">
            <v>HHTT</v>
          </cell>
          <cell r="F2430" t="str">
            <v>AM</v>
          </cell>
          <cell r="H2430">
            <v>122</v>
          </cell>
          <cell r="I2430">
            <v>28247</v>
          </cell>
          <cell r="K2430">
            <v>1800</v>
          </cell>
        </row>
        <row r="2431">
          <cell r="A2431">
            <v>45047</v>
          </cell>
          <cell r="B2431" t="str">
            <v>Ubaid Ahanger</v>
          </cell>
          <cell r="E2431" t="str">
            <v>HHTT</v>
          </cell>
          <cell r="F2431" t="str">
            <v>AM</v>
          </cell>
          <cell r="H2431">
            <v>122</v>
          </cell>
          <cell r="I2431">
            <v>28247</v>
          </cell>
          <cell r="K2431">
            <v>1800</v>
          </cell>
        </row>
        <row r="2432">
          <cell r="A2432">
            <v>45047</v>
          </cell>
          <cell r="B2432" t="str">
            <v>Maitha Bin Malek</v>
          </cell>
          <cell r="E2432" t="str">
            <v>HHTT</v>
          </cell>
          <cell r="F2432" t="str">
            <v>D</v>
          </cell>
          <cell r="H2432">
            <v>1215.3373244028139</v>
          </cell>
          <cell r="I2432">
            <v>289225.87275536481</v>
          </cell>
          <cell r="K2432">
            <v>18000</v>
          </cell>
        </row>
        <row r="2433">
          <cell r="A2433">
            <v>45047</v>
          </cell>
          <cell r="B2433" t="str">
            <v>Adnan Bashir</v>
          </cell>
          <cell r="E2433" t="str">
            <v>RCOGM</v>
          </cell>
          <cell r="F2433" t="str">
            <v>AM</v>
          </cell>
          <cell r="H2433">
            <v>100</v>
          </cell>
          <cell r="I2433">
            <v>15174</v>
          </cell>
          <cell r="K2433">
            <v>1286</v>
          </cell>
        </row>
        <row r="2434">
          <cell r="A2434">
            <v>45047</v>
          </cell>
          <cell r="B2434" t="str">
            <v>Aijaz Darzi</v>
          </cell>
          <cell r="E2434" t="str">
            <v>RCOGM</v>
          </cell>
          <cell r="F2434" t="str">
            <v>AM</v>
          </cell>
          <cell r="H2434">
            <v>62</v>
          </cell>
          <cell r="I2434">
            <v>9000</v>
          </cell>
          <cell r="K2434">
            <v>1286</v>
          </cell>
        </row>
        <row r="2435">
          <cell r="A2435">
            <v>45047</v>
          </cell>
          <cell r="B2435" t="str">
            <v>AlMas Zaheer</v>
          </cell>
          <cell r="E2435" t="str">
            <v>RCOGM</v>
          </cell>
          <cell r="F2435" t="str">
            <v>AM</v>
          </cell>
          <cell r="H2435">
            <v>124</v>
          </cell>
          <cell r="I2435">
            <v>9000</v>
          </cell>
          <cell r="K2435">
            <v>1286</v>
          </cell>
        </row>
        <row r="2436">
          <cell r="A2436">
            <v>45047</v>
          </cell>
          <cell r="B2436" t="str">
            <v>Ali Alzarooni</v>
          </cell>
          <cell r="E2436" t="str">
            <v>RCOGM</v>
          </cell>
          <cell r="F2436" t="str">
            <v>AM</v>
          </cell>
          <cell r="H2436">
            <v>124</v>
          </cell>
          <cell r="I2436">
            <v>14000</v>
          </cell>
          <cell r="K2436">
            <v>1286</v>
          </cell>
        </row>
        <row r="2437">
          <cell r="A2437">
            <v>45047</v>
          </cell>
          <cell r="B2437" t="str">
            <v>Ali Shahin</v>
          </cell>
          <cell r="E2437" t="str">
            <v>RCOGM</v>
          </cell>
          <cell r="F2437" t="str">
            <v>AM</v>
          </cell>
          <cell r="H2437">
            <v>124</v>
          </cell>
          <cell r="I2437">
            <v>15174</v>
          </cell>
          <cell r="K2437">
            <v>1286</v>
          </cell>
        </row>
        <row r="2438">
          <cell r="A2438">
            <v>45047</v>
          </cell>
          <cell r="B2438" t="str">
            <v>Ammar Aladily</v>
          </cell>
          <cell r="E2438" t="str">
            <v>RCOGM</v>
          </cell>
          <cell r="F2438" t="str">
            <v>AM</v>
          </cell>
          <cell r="H2438">
            <v>340</v>
          </cell>
          <cell r="I2438">
            <v>32396</v>
          </cell>
          <cell r="K2438">
            <v>1286</v>
          </cell>
        </row>
        <row r="2439">
          <cell r="A2439">
            <v>45047</v>
          </cell>
          <cell r="B2439" t="str">
            <v>Ayaz Zargar</v>
          </cell>
          <cell r="E2439" t="str">
            <v>RCOGM</v>
          </cell>
          <cell r="F2439" t="str">
            <v>AM</v>
          </cell>
          <cell r="H2439">
            <v>100</v>
          </cell>
          <cell r="I2439">
            <v>15174</v>
          </cell>
          <cell r="K2439">
            <v>1286</v>
          </cell>
        </row>
        <row r="2440">
          <cell r="A2440">
            <v>45047</v>
          </cell>
          <cell r="B2440" t="str">
            <v>Bilal Wani</v>
          </cell>
          <cell r="E2440" t="str">
            <v>RCOGM</v>
          </cell>
          <cell r="F2440" t="str">
            <v>AM</v>
          </cell>
          <cell r="H2440">
            <v>62</v>
          </cell>
          <cell r="I2440">
            <v>9000</v>
          </cell>
          <cell r="K2440">
            <v>1286</v>
          </cell>
        </row>
        <row r="2441">
          <cell r="A2441">
            <v>45047</v>
          </cell>
          <cell r="B2441" t="str">
            <v>Danish Shabir</v>
          </cell>
          <cell r="E2441" t="str">
            <v>RCOGM</v>
          </cell>
          <cell r="F2441" t="str">
            <v>AM</v>
          </cell>
          <cell r="H2441">
            <v>100</v>
          </cell>
          <cell r="I2441">
            <v>15174</v>
          </cell>
          <cell r="K2441">
            <v>1286</v>
          </cell>
        </row>
        <row r="2442">
          <cell r="A2442">
            <v>45047</v>
          </cell>
          <cell r="B2442" t="str">
            <v>Mehfooz Mir</v>
          </cell>
          <cell r="E2442" t="str">
            <v>RCOGM</v>
          </cell>
          <cell r="F2442" t="str">
            <v>AM</v>
          </cell>
          <cell r="H2442">
            <v>62</v>
          </cell>
          <cell r="I2442">
            <v>9000</v>
          </cell>
          <cell r="K2442">
            <v>1286</v>
          </cell>
        </row>
        <row r="2443">
          <cell r="A2443">
            <v>45047</v>
          </cell>
          <cell r="B2443" t="str">
            <v>Sana Shaikh</v>
          </cell>
          <cell r="E2443" t="str">
            <v>RCOGM</v>
          </cell>
          <cell r="F2443" t="str">
            <v>AM</v>
          </cell>
          <cell r="H2443">
            <v>124</v>
          </cell>
          <cell r="I2443">
            <v>15174</v>
          </cell>
          <cell r="K2443">
            <v>1286</v>
          </cell>
        </row>
        <row r="2444">
          <cell r="A2444">
            <v>45047</v>
          </cell>
          <cell r="B2444" t="str">
            <v>Shabbir Lacewala</v>
          </cell>
          <cell r="E2444" t="str">
            <v>RCOGM</v>
          </cell>
          <cell r="F2444" t="str">
            <v>AM</v>
          </cell>
          <cell r="H2444">
            <v>191</v>
          </cell>
          <cell r="I2444">
            <v>25000</v>
          </cell>
          <cell r="K2444">
            <v>1286</v>
          </cell>
        </row>
        <row r="2445">
          <cell r="A2445">
            <v>45047</v>
          </cell>
          <cell r="B2445" t="str">
            <v>Shadab Sheikh</v>
          </cell>
          <cell r="E2445" t="str">
            <v>RCOGM</v>
          </cell>
          <cell r="F2445" t="str">
            <v>AM</v>
          </cell>
          <cell r="H2445">
            <v>100</v>
          </cell>
          <cell r="I2445">
            <v>15174</v>
          </cell>
          <cell r="K2445">
            <v>1286</v>
          </cell>
        </row>
        <row r="2446">
          <cell r="A2446">
            <v>45047</v>
          </cell>
          <cell r="B2446" t="str">
            <v>Shiraz Niazi</v>
          </cell>
          <cell r="E2446" t="str">
            <v>RCOGM</v>
          </cell>
          <cell r="F2446" t="str">
            <v>AM</v>
          </cell>
          <cell r="H2446">
            <v>124</v>
          </cell>
          <cell r="I2446">
            <v>14000</v>
          </cell>
          <cell r="K2446">
            <v>1286</v>
          </cell>
        </row>
        <row r="2447">
          <cell r="A2447">
            <v>45047</v>
          </cell>
          <cell r="B2447" t="str">
            <v>Imran Malik</v>
          </cell>
          <cell r="E2447" t="str">
            <v>RCOGM</v>
          </cell>
          <cell r="F2447" t="str">
            <v>D</v>
          </cell>
          <cell r="H2447">
            <v>1737</v>
          </cell>
          <cell r="I2447">
            <v>212440</v>
          </cell>
          <cell r="K2447">
            <v>18000</v>
          </cell>
        </row>
        <row r="2448">
          <cell r="A2448">
            <v>45047</v>
          </cell>
          <cell r="B2448" t="str">
            <v>Ahemar Khan</v>
          </cell>
          <cell r="E2448" t="str">
            <v>TME</v>
          </cell>
          <cell r="F2448" t="str">
            <v>AM</v>
          </cell>
        </row>
        <row r="2449">
          <cell r="A2449">
            <v>45047</v>
          </cell>
          <cell r="B2449" t="str">
            <v>Ahmad Ozdamir</v>
          </cell>
          <cell r="E2449" t="str">
            <v>TME</v>
          </cell>
          <cell r="F2449" t="str">
            <v>AM</v>
          </cell>
          <cell r="H2449">
            <v>100</v>
          </cell>
          <cell r="I2449">
            <v>11447.864137767909</v>
          </cell>
          <cell r="K2449">
            <v>1384.6153846153845</v>
          </cell>
        </row>
        <row r="2450">
          <cell r="A2450">
            <v>45047</v>
          </cell>
          <cell r="B2450" t="str">
            <v>Ahmed AlShehhi</v>
          </cell>
          <cell r="E2450" t="str">
            <v>TME</v>
          </cell>
          <cell r="F2450" t="str">
            <v>AM</v>
          </cell>
          <cell r="H2450">
            <v>80</v>
          </cell>
          <cell r="I2450">
            <v>8447.8641377679378</v>
          </cell>
          <cell r="K2450">
            <v>1384.6153846153845</v>
          </cell>
        </row>
        <row r="2451">
          <cell r="A2451">
            <v>45047</v>
          </cell>
          <cell r="B2451" t="str">
            <v>Amjad Ilwan</v>
          </cell>
          <cell r="E2451" t="str">
            <v>TME</v>
          </cell>
          <cell r="F2451" t="str">
            <v>AM</v>
          </cell>
          <cell r="H2451">
            <v>100</v>
          </cell>
          <cell r="I2451">
            <v>13960.538919974308</v>
          </cell>
          <cell r="K2451">
            <v>1384.6153846153845</v>
          </cell>
        </row>
        <row r="2452">
          <cell r="A2452">
            <v>45047</v>
          </cell>
          <cell r="B2452" t="str">
            <v>Anastasia Maltseva</v>
          </cell>
          <cell r="E2452" t="str">
            <v>TME</v>
          </cell>
          <cell r="F2452" t="str">
            <v>AM</v>
          </cell>
          <cell r="H2452">
            <v>80</v>
          </cell>
          <cell r="I2452">
            <v>8447.8641377679378</v>
          </cell>
          <cell r="K2452">
            <v>1384.6153846153845</v>
          </cell>
        </row>
        <row r="2453">
          <cell r="A2453">
            <v>45047</v>
          </cell>
          <cell r="B2453" t="str">
            <v>Buhari Buhari</v>
          </cell>
          <cell r="E2453" t="str">
            <v>TME</v>
          </cell>
          <cell r="F2453" t="str">
            <v>AM</v>
          </cell>
          <cell r="H2453">
            <v>80</v>
          </cell>
          <cell r="I2453">
            <v>8447.8641377679378</v>
          </cell>
          <cell r="K2453">
            <v>1384.6153846153845</v>
          </cell>
        </row>
        <row r="2454">
          <cell r="A2454">
            <v>45047</v>
          </cell>
          <cell r="B2454" t="str">
            <v>Ehab Hajou</v>
          </cell>
          <cell r="E2454" t="str">
            <v>TME</v>
          </cell>
          <cell r="F2454" t="str">
            <v>AM</v>
          </cell>
          <cell r="H2454">
            <v>125</v>
          </cell>
          <cell r="I2454">
            <v>27981.537648100108</v>
          </cell>
          <cell r="K2454">
            <v>1384.6153846153845</v>
          </cell>
        </row>
        <row r="2455">
          <cell r="A2455">
            <v>45047</v>
          </cell>
          <cell r="B2455" t="str">
            <v>Fadi Saleh</v>
          </cell>
          <cell r="E2455" t="str">
            <v>TME</v>
          </cell>
          <cell r="F2455" t="str">
            <v>AM</v>
          </cell>
          <cell r="H2455">
            <v>70</v>
          </cell>
          <cell r="I2455">
            <v>15447.864137767909</v>
          </cell>
          <cell r="K2455">
            <v>1384.6153846153845</v>
          </cell>
        </row>
        <row r="2456">
          <cell r="A2456">
            <v>45047</v>
          </cell>
          <cell r="B2456" t="str">
            <v>Iqbal Hussain</v>
          </cell>
          <cell r="E2456" t="str">
            <v>TME</v>
          </cell>
          <cell r="F2456" t="str">
            <v>AM</v>
          </cell>
          <cell r="H2456">
            <v>249.83184590155</v>
          </cell>
          <cell r="I2456">
            <v>13480.258326280709</v>
          </cell>
          <cell r="K2456">
            <v>1384.6153846153845</v>
          </cell>
        </row>
        <row r="2457">
          <cell r="A2457">
            <v>45047</v>
          </cell>
          <cell r="B2457" t="str">
            <v>Jeevantha Ranasinghe</v>
          </cell>
          <cell r="E2457" t="str">
            <v>TME</v>
          </cell>
          <cell r="F2457" t="str">
            <v>AM</v>
          </cell>
          <cell r="H2457">
            <v>100.394002760419</v>
          </cell>
          <cell r="I2457">
            <v>99506.692618519199</v>
          </cell>
          <cell r="K2457">
            <v>1384.6153846153845</v>
          </cell>
        </row>
        <row r="2458">
          <cell r="A2458">
            <v>45047</v>
          </cell>
          <cell r="B2458" t="str">
            <v>Maen Okour</v>
          </cell>
          <cell r="E2458" t="str">
            <v>TME</v>
          </cell>
          <cell r="F2458" t="str">
            <v>AM</v>
          </cell>
        </row>
        <row r="2459">
          <cell r="A2459">
            <v>45047</v>
          </cell>
          <cell r="B2459" t="str">
            <v>Ninette Hajjar</v>
          </cell>
          <cell r="E2459" t="str">
            <v>TME</v>
          </cell>
          <cell r="F2459" t="str">
            <v>AM</v>
          </cell>
        </row>
        <row r="2460">
          <cell r="A2460">
            <v>45047</v>
          </cell>
          <cell r="B2460" t="str">
            <v>Rijith Menon</v>
          </cell>
          <cell r="E2460" t="str">
            <v>TME</v>
          </cell>
          <cell r="F2460" t="str">
            <v>AM</v>
          </cell>
          <cell r="H2460">
            <v>91</v>
          </cell>
          <cell r="I2460">
            <v>20447.864137767909</v>
          </cell>
          <cell r="K2460">
            <v>1384.6153846153845</v>
          </cell>
        </row>
        <row r="2461">
          <cell r="A2461">
            <v>45047</v>
          </cell>
          <cell r="B2461" t="str">
            <v>Sara Alblooshi</v>
          </cell>
          <cell r="E2461" t="str">
            <v>TME</v>
          </cell>
          <cell r="F2461" t="str">
            <v>AM</v>
          </cell>
          <cell r="H2461">
            <v>80</v>
          </cell>
          <cell r="I2461">
            <v>8447.8641377679378</v>
          </cell>
          <cell r="K2461">
            <v>1134.61538461538</v>
          </cell>
        </row>
        <row r="2462">
          <cell r="A2462">
            <v>45047</v>
          </cell>
          <cell r="B2462" t="str">
            <v>Suleiman Wanni</v>
          </cell>
          <cell r="E2462" t="str">
            <v>TME</v>
          </cell>
          <cell r="F2462" t="str">
            <v>AM</v>
          </cell>
          <cell r="H2462">
            <v>100.39400276041857</v>
          </cell>
          <cell r="I2462">
            <v>20713.054601011809</v>
          </cell>
          <cell r="K2462">
            <v>1384.6153846153845</v>
          </cell>
        </row>
        <row r="2463">
          <cell r="A2463">
            <v>45047</v>
          </cell>
          <cell r="B2463" t="str">
            <v>Waseem Suhaf</v>
          </cell>
          <cell r="E2463" t="str">
            <v>TME</v>
          </cell>
          <cell r="F2463" t="str">
            <v>AM</v>
          </cell>
          <cell r="H2463">
            <v>250.394002760419</v>
          </cell>
          <cell r="I2463">
            <v>9447.8641377679378</v>
          </cell>
          <cell r="K2463">
            <v>1384.6153846153845</v>
          </cell>
        </row>
        <row r="2464">
          <cell r="A2464">
            <v>45047</v>
          </cell>
          <cell r="B2464" t="str">
            <v>Mostafa Mekawy</v>
          </cell>
          <cell r="E2464" t="str">
            <v>TME</v>
          </cell>
          <cell r="F2464" t="str">
            <v>AM</v>
          </cell>
          <cell r="H2464">
            <v>50</v>
          </cell>
          <cell r="I2464">
            <v>3307</v>
          </cell>
          <cell r="K2464">
            <v>250</v>
          </cell>
        </row>
        <row r="2465">
          <cell r="A2465">
            <v>45047</v>
          </cell>
          <cell r="B2465" t="str">
            <v>Hany Jawee</v>
          </cell>
          <cell r="E2465" t="str">
            <v>TME</v>
          </cell>
          <cell r="F2465" t="str">
            <v>D</v>
          </cell>
          <cell r="H2465">
            <v>1557.4654028455566</v>
          </cell>
          <cell r="I2465">
            <v>269532.2952446352</v>
          </cell>
          <cell r="K2465">
            <v>18000</v>
          </cell>
        </row>
        <row r="2466">
          <cell r="A2466">
            <v>45078</v>
          </cell>
          <cell r="B2466" t="str">
            <v>Khalid Karmastaji</v>
          </cell>
          <cell r="E2466" t="str">
            <v>AUH</v>
          </cell>
          <cell r="F2466" t="str">
            <v>D</v>
          </cell>
          <cell r="H2466">
            <v>200</v>
          </cell>
          <cell r="I2466">
            <v>100000</v>
          </cell>
          <cell r="K2466">
            <v>10000</v>
          </cell>
        </row>
        <row r="2467">
          <cell r="A2467">
            <v>45078</v>
          </cell>
          <cell r="B2467" t="str">
            <v>Abdulla Alhashmi</v>
          </cell>
          <cell r="E2467" t="str">
            <v>AUH</v>
          </cell>
          <cell r="F2467" t="str">
            <v>AM</v>
          </cell>
          <cell r="H2467">
            <v>15</v>
          </cell>
          <cell r="I2467">
            <v>7000</v>
          </cell>
          <cell r="K2467">
            <v>1000</v>
          </cell>
        </row>
        <row r="2468">
          <cell r="A2468">
            <v>45078</v>
          </cell>
          <cell r="B2468" t="str">
            <v>Ammar Alqudsi</v>
          </cell>
          <cell r="E2468" t="str">
            <v>AUH</v>
          </cell>
          <cell r="F2468" t="str">
            <v>AM</v>
          </cell>
          <cell r="H2468">
            <v>20</v>
          </cell>
          <cell r="I2468">
            <v>11000</v>
          </cell>
          <cell r="K2468">
            <v>1000</v>
          </cell>
        </row>
        <row r="2469">
          <cell r="A2469">
            <v>45078</v>
          </cell>
          <cell r="B2469" t="str">
            <v>Humaid Almaazmi</v>
          </cell>
          <cell r="E2469" t="str">
            <v>AUH</v>
          </cell>
          <cell r="F2469" t="str">
            <v>AM</v>
          </cell>
          <cell r="H2469">
            <v>20</v>
          </cell>
          <cell r="I2469">
            <v>10000</v>
          </cell>
          <cell r="K2469">
            <v>1000</v>
          </cell>
        </row>
        <row r="2470">
          <cell r="A2470">
            <v>45078</v>
          </cell>
          <cell r="B2470" t="str">
            <v>Khamis Almakrani</v>
          </cell>
          <cell r="E2470" t="str">
            <v>AUH</v>
          </cell>
          <cell r="F2470" t="str">
            <v>AM</v>
          </cell>
          <cell r="H2470">
            <v>15</v>
          </cell>
          <cell r="I2470">
            <v>10000</v>
          </cell>
          <cell r="K2470">
            <v>1000</v>
          </cell>
        </row>
        <row r="2471">
          <cell r="A2471">
            <v>45078</v>
          </cell>
          <cell r="B2471" t="str">
            <v>Muhammad Ismail</v>
          </cell>
          <cell r="E2471" t="str">
            <v>AUH</v>
          </cell>
          <cell r="F2471" t="str">
            <v>AM</v>
          </cell>
          <cell r="H2471">
            <v>20</v>
          </cell>
          <cell r="I2471">
            <v>10000</v>
          </cell>
          <cell r="K2471">
            <v>1000</v>
          </cell>
        </row>
        <row r="2472">
          <cell r="A2472">
            <v>45078</v>
          </cell>
          <cell r="B2472" t="str">
            <v>Muhammad Nauman Khan</v>
          </cell>
          <cell r="E2472" t="str">
            <v>AUH</v>
          </cell>
          <cell r="F2472" t="str">
            <v>AM</v>
          </cell>
          <cell r="H2472">
            <v>20</v>
          </cell>
          <cell r="I2472">
            <v>10000</v>
          </cell>
          <cell r="K2472">
            <v>1000</v>
          </cell>
        </row>
        <row r="2473">
          <cell r="A2473">
            <v>45078</v>
          </cell>
          <cell r="B2473" t="str">
            <v>Omar AlHammadi</v>
          </cell>
          <cell r="E2473" t="str">
            <v>AUH</v>
          </cell>
          <cell r="F2473" t="str">
            <v>AM</v>
          </cell>
          <cell r="H2473">
            <v>15</v>
          </cell>
          <cell r="I2473">
            <v>8000</v>
          </cell>
          <cell r="K2473">
            <v>1000</v>
          </cell>
        </row>
        <row r="2474">
          <cell r="A2474">
            <v>45078</v>
          </cell>
          <cell r="B2474" t="str">
            <v>Osman Basuleman</v>
          </cell>
          <cell r="E2474" t="str">
            <v>AUH</v>
          </cell>
          <cell r="F2474" t="str">
            <v>AM</v>
          </cell>
          <cell r="H2474">
            <v>25</v>
          </cell>
          <cell r="I2474">
            <v>12000</v>
          </cell>
          <cell r="K2474">
            <v>1000</v>
          </cell>
        </row>
        <row r="2475">
          <cell r="A2475">
            <v>45078</v>
          </cell>
          <cell r="B2475" t="str">
            <v>Tarek Solh</v>
          </cell>
          <cell r="E2475" t="str">
            <v>AUH</v>
          </cell>
          <cell r="F2475" t="str">
            <v>AM</v>
          </cell>
          <cell r="H2475">
            <v>25</v>
          </cell>
          <cell r="I2475">
            <v>12000</v>
          </cell>
          <cell r="K2475">
            <v>1000</v>
          </cell>
        </row>
        <row r="2476">
          <cell r="A2476">
            <v>45078</v>
          </cell>
          <cell r="B2476" t="str">
            <v>Yousef Alhosani</v>
          </cell>
          <cell r="E2476" t="str">
            <v>AUH</v>
          </cell>
          <cell r="F2476" t="str">
            <v>AM</v>
          </cell>
          <cell r="H2476">
            <v>25</v>
          </cell>
          <cell r="I2476">
            <v>10000</v>
          </cell>
          <cell r="K2476">
            <v>1000</v>
          </cell>
        </row>
        <row r="2477">
          <cell r="A2477">
            <v>45078</v>
          </cell>
          <cell r="B2477" t="str">
            <v>Khaled Alawadi</v>
          </cell>
          <cell r="E2477" t="str">
            <v>F-NE</v>
          </cell>
          <cell r="F2477" t="str">
            <v>D</v>
          </cell>
          <cell r="H2477">
            <v>600</v>
          </cell>
          <cell r="I2477">
            <v>150000</v>
          </cell>
          <cell r="K2477">
            <v>10000</v>
          </cell>
        </row>
        <row r="2478">
          <cell r="A2478">
            <v>45078</v>
          </cell>
          <cell r="B2478" t="str">
            <v>Ahmed AlShehhi</v>
          </cell>
          <cell r="E2478" t="str">
            <v>F-NE</v>
          </cell>
          <cell r="F2478" t="str">
            <v>AM</v>
          </cell>
          <cell r="H2478">
            <v>20</v>
          </cell>
          <cell r="I2478">
            <v>2500</v>
          </cell>
          <cell r="K2478">
            <v>1263.3782735033481</v>
          </cell>
        </row>
        <row r="2479">
          <cell r="A2479">
            <v>45078</v>
          </cell>
          <cell r="B2479" t="str">
            <v>Bader Al Shehhi</v>
          </cell>
          <cell r="E2479" t="str">
            <v>F-NE</v>
          </cell>
          <cell r="F2479" t="str">
            <v>AM</v>
          </cell>
          <cell r="H2479">
            <v>45</v>
          </cell>
          <cell r="I2479">
            <v>5000</v>
          </cell>
          <cell r="K2479">
            <v>1263.3782735033481</v>
          </cell>
        </row>
        <row r="2480">
          <cell r="A2480">
            <v>45078</v>
          </cell>
          <cell r="B2480" t="str">
            <v>Bashar Al Adilee</v>
          </cell>
          <cell r="E2480" t="str">
            <v>F-NE</v>
          </cell>
          <cell r="F2480" t="str">
            <v>AM</v>
          </cell>
          <cell r="H2480">
            <v>90</v>
          </cell>
          <cell r="I2480">
            <v>15000</v>
          </cell>
          <cell r="K2480">
            <v>2349.4865269731267</v>
          </cell>
        </row>
        <row r="2481">
          <cell r="A2481">
            <v>45078</v>
          </cell>
          <cell r="B2481" t="str">
            <v>Khalid Mohammed</v>
          </cell>
          <cell r="E2481" t="str">
            <v>F-NE</v>
          </cell>
          <cell r="F2481" t="str">
            <v>AM</v>
          </cell>
          <cell r="H2481">
            <v>220.19306852350059</v>
          </cell>
          <cell r="I2481">
            <v>100000</v>
          </cell>
          <cell r="K2481">
            <v>1263.3782735033481</v>
          </cell>
        </row>
        <row r="2482">
          <cell r="A2482">
            <v>45078</v>
          </cell>
          <cell r="B2482" t="str">
            <v>Majd Nairoukh</v>
          </cell>
          <cell r="E2482" t="str">
            <v>F-NE</v>
          </cell>
          <cell r="F2482" t="str">
            <v>AM</v>
          </cell>
          <cell r="H2482">
            <v>90</v>
          </cell>
          <cell r="I2482">
            <v>3500</v>
          </cell>
          <cell r="K2482">
            <v>1333.6221055101341</v>
          </cell>
        </row>
        <row r="2483">
          <cell r="A2483">
            <v>45078</v>
          </cell>
          <cell r="B2483" t="str">
            <v>Nader AlMustafa</v>
          </cell>
          <cell r="E2483" t="str">
            <v>F-NE</v>
          </cell>
          <cell r="F2483" t="str">
            <v>AM</v>
          </cell>
          <cell r="H2483">
            <v>45</v>
          </cell>
          <cell r="I2483">
            <v>3500</v>
          </cell>
          <cell r="K2483">
            <v>1263.3782735033481</v>
          </cell>
        </row>
        <row r="2484">
          <cell r="A2484">
            <v>45078</v>
          </cell>
          <cell r="B2484" t="str">
            <v>Yousef Al Baloushi</v>
          </cell>
          <cell r="E2484" t="str">
            <v>F-NE</v>
          </cell>
          <cell r="F2484" t="str">
            <v>AM</v>
          </cell>
          <cell r="H2484">
            <v>90</v>
          </cell>
          <cell r="I2484">
            <v>20500</v>
          </cell>
          <cell r="K2484">
            <v>1263.3782735033481</v>
          </cell>
        </row>
        <row r="2485">
          <cell r="A2485">
            <v>45078</v>
          </cell>
          <cell r="B2485" t="str">
            <v>Mohamad Amer Sibai</v>
          </cell>
          <cell r="E2485" t="str">
            <v>DXB</v>
          </cell>
          <cell r="F2485" t="str">
            <v>D</v>
          </cell>
          <cell r="H2485">
            <v>200</v>
          </cell>
          <cell r="I2485">
            <v>100000</v>
          </cell>
          <cell r="K2485">
            <v>10000</v>
          </cell>
        </row>
        <row r="2486">
          <cell r="A2486">
            <v>45078</v>
          </cell>
          <cell r="B2486" t="str">
            <v>Humaid Al Ali</v>
          </cell>
          <cell r="E2486" t="str">
            <v>DXB</v>
          </cell>
          <cell r="F2486" t="str">
            <v>AM</v>
          </cell>
          <cell r="H2486">
            <v>50</v>
          </cell>
          <cell r="I2486">
            <v>8000</v>
          </cell>
          <cell r="K2486">
            <v>2000</v>
          </cell>
        </row>
        <row r="2487">
          <cell r="A2487">
            <v>45078</v>
          </cell>
          <cell r="B2487" t="str">
            <v>Ali AlZarooni</v>
          </cell>
          <cell r="E2487" t="str">
            <v>DXB</v>
          </cell>
          <cell r="F2487" t="str">
            <v>AM</v>
          </cell>
          <cell r="H2487">
            <v>30</v>
          </cell>
          <cell r="I2487">
            <v>2500</v>
          </cell>
          <cell r="K2487">
            <v>1000</v>
          </cell>
        </row>
        <row r="2488">
          <cell r="A2488">
            <v>45078</v>
          </cell>
          <cell r="B2488" t="str">
            <v>Mohamed Mady</v>
          </cell>
          <cell r="E2488" t="str">
            <v>DXB</v>
          </cell>
          <cell r="F2488" t="str">
            <v>AM</v>
          </cell>
          <cell r="H2488">
            <v>50</v>
          </cell>
          <cell r="I2488">
            <v>8000</v>
          </cell>
          <cell r="K2488">
            <v>2000</v>
          </cell>
        </row>
        <row r="2489">
          <cell r="A2489">
            <v>45078</v>
          </cell>
          <cell r="B2489" t="str">
            <v>Ramzi Gholmieh</v>
          </cell>
          <cell r="E2489" t="str">
            <v>DXB</v>
          </cell>
          <cell r="F2489" t="str">
            <v>AM</v>
          </cell>
          <cell r="H2489">
            <v>35</v>
          </cell>
          <cell r="I2489">
            <v>20000</v>
          </cell>
          <cell r="K2489">
            <v>2000</v>
          </cell>
        </row>
        <row r="2490">
          <cell r="A2490">
            <v>45078</v>
          </cell>
          <cell r="B2490" t="str">
            <v>Talal Ahmed Ali Alsharhan</v>
          </cell>
          <cell r="E2490" t="str">
            <v>DXB</v>
          </cell>
          <cell r="F2490" t="str">
            <v>AM</v>
          </cell>
          <cell r="H2490">
            <v>20</v>
          </cell>
          <cell r="I2490">
            <v>2500</v>
          </cell>
          <cell r="K2490">
            <v>1000</v>
          </cell>
        </row>
        <row r="2491">
          <cell r="A2491">
            <v>45078</v>
          </cell>
          <cell r="B2491" t="str">
            <v>Tariq AlAwadhi</v>
          </cell>
          <cell r="E2491" t="str">
            <v>DXB</v>
          </cell>
          <cell r="F2491" t="str">
            <v>AM</v>
          </cell>
          <cell r="H2491">
            <v>15</v>
          </cell>
          <cell r="I2491">
            <v>59000</v>
          </cell>
          <cell r="K2491">
            <v>2000</v>
          </cell>
        </row>
        <row r="2492">
          <cell r="A2492">
            <v>45078</v>
          </cell>
          <cell r="B2492" t="str">
            <v>Imran Malik</v>
          </cell>
          <cell r="E2492" t="str">
            <v>ME</v>
          </cell>
          <cell r="F2492" t="str">
            <v>D</v>
          </cell>
          <cell r="H2492">
            <v>1300</v>
          </cell>
          <cell r="I2492">
            <v>115000</v>
          </cell>
          <cell r="K2492" t="str">
            <v>  10,000</v>
          </cell>
        </row>
        <row r="2493">
          <cell r="A2493">
            <v>45078</v>
          </cell>
          <cell r="B2493" t="str">
            <v>Anastasia Maltseva</v>
          </cell>
          <cell r="E2493" t="str">
            <v>ME</v>
          </cell>
          <cell r="F2493" t="str">
            <v>AM</v>
          </cell>
          <cell r="H2493">
            <v>108</v>
          </cell>
          <cell r="I2493">
            <v>9500</v>
          </cell>
          <cell r="K2493">
            <v>800</v>
          </cell>
        </row>
        <row r="2494">
          <cell r="A2494">
            <v>45078</v>
          </cell>
          <cell r="B2494" t="str">
            <v>Ayaz Zargar</v>
          </cell>
          <cell r="E2494" t="str">
            <v>ME</v>
          </cell>
          <cell r="F2494" t="str">
            <v>AM</v>
          </cell>
          <cell r="H2494">
            <v>108</v>
          </cell>
          <cell r="I2494">
            <v>9500</v>
          </cell>
          <cell r="K2494">
            <v>800</v>
          </cell>
        </row>
        <row r="2495">
          <cell r="A2495">
            <v>45078</v>
          </cell>
          <cell r="B2495" t="str">
            <v>Bilal Wani</v>
          </cell>
          <cell r="E2495" t="str">
            <v>ME</v>
          </cell>
          <cell r="F2495" t="str">
            <v>AM</v>
          </cell>
          <cell r="H2495">
            <v>108</v>
          </cell>
          <cell r="I2495">
            <v>9500</v>
          </cell>
          <cell r="K2495">
            <v>800</v>
          </cell>
        </row>
        <row r="2496">
          <cell r="A2496">
            <v>45078</v>
          </cell>
          <cell r="B2496" t="str">
            <v>Buhari Buhari</v>
          </cell>
          <cell r="E2496" t="str">
            <v>ME</v>
          </cell>
          <cell r="F2496" t="str">
            <v>AM</v>
          </cell>
          <cell r="H2496">
            <v>108</v>
          </cell>
          <cell r="I2496">
            <v>9500</v>
          </cell>
          <cell r="K2496">
            <v>800</v>
          </cell>
        </row>
        <row r="2497">
          <cell r="A2497">
            <v>45078</v>
          </cell>
          <cell r="B2497" t="str">
            <v>Danish Shabir</v>
          </cell>
          <cell r="E2497" t="str">
            <v>ME</v>
          </cell>
          <cell r="F2497" t="str">
            <v>AM</v>
          </cell>
          <cell r="H2497">
            <v>108</v>
          </cell>
          <cell r="I2497">
            <v>9500</v>
          </cell>
          <cell r="K2497">
            <v>800</v>
          </cell>
        </row>
        <row r="2498">
          <cell r="A2498">
            <v>45078</v>
          </cell>
          <cell r="B2498" t="str">
            <v>Junaid Warris</v>
          </cell>
          <cell r="E2498" t="str">
            <v>ME</v>
          </cell>
          <cell r="F2498" t="str">
            <v>AM</v>
          </cell>
          <cell r="H2498">
            <v>90</v>
          </cell>
          <cell r="I2498">
            <v>9500</v>
          </cell>
          <cell r="K2498">
            <v>800</v>
          </cell>
        </row>
        <row r="2499">
          <cell r="A2499">
            <v>45078</v>
          </cell>
          <cell r="B2499" t="str">
            <v>Ranjith Chandran</v>
          </cell>
          <cell r="E2499" t="str">
            <v>ME</v>
          </cell>
          <cell r="F2499" t="str">
            <v>AM</v>
          </cell>
          <cell r="H2499">
            <v>108</v>
          </cell>
          <cell r="I2499">
            <v>9500</v>
          </cell>
          <cell r="K2499">
            <v>1000</v>
          </cell>
        </row>
        <row r="2500">
          <cell r="A2500">
            <v>45078</v>
          </cell>
          <cell r="B2500" t="str">
            <v>Sana Shaikh</v>
          </cell>
          <cell r="E2500" t="str">
            <v>ME</v>
          </cell>
          <cell r="F2500" t="str">
            <v>AM</v>
          </cell>
          <cell r="H2500">
            <v>108</v>
          </cell>
          <cell r="I2500">
            <v>10000</v>
          </cell>
          <cell r="K2500">
            <v>800</v>
          </cell>
        </row>
        <row r="2501">
          <cell r="A2501">
            <v>45078</v>
          </cell>
          <cell r="B2501" t="str">
            <v>Shabbir Lacewala</v>
          </cell>
          <cell r="E2501" t="str">
            <v>ME</v>
          </cell>
          <cell r="F2501" t="str">
            <v>AM</v>
          </cell>
          <cell r="H2501">
            <v>120</v>
          </cell>
          <cell r="I2501">
            <v>9500</v>
          </cell>
          <cell r="K2501">
            <v>800</v>
          </cell>
        </row>
        <row r="2502">
          <cell r="A2502">
            <v>45078</v>
          </cell>
          <cell r="B2502" t="str">
            <v>Shadab Sheikh</v>
          </cell>
          <cell r="E2502" t="str">
            <v>ME</v>
          </cell>
          <cell r="F2502" t="str">
            <v>AM</v>
          </cell>
          <cell r="H2502">
            <v>108</v>
          </cell>
          <cell r="I2502">
            <v>9500</v>
          </cell>
          <cell r="K2502">
            <v>800</v>
          </cell>
        </row>
        <row r="2503">
          <cell r="A2503">
            <v>45078</v>
          </cell>
          <cell r="B2503" t="str">
            <v>Ubaid Ahanger</v>
          </cell>
          <cell r="E2503" t="str">
            <v>ME</v>
          </cell>
          <cell r="F2503" t="str">
            <v>AM</v>
          </cell>
          <cell r="H2503">
            <v>108</v>
          </cell>
          <cell r="I2503">
            <v>9500</v>
          </cell>
          <cell r="K2503">
            <v>800</v>
          </cell>
        </row>
        <row r="2504">
          <cell r="A2504">
            <v>45078</v>
          </cell>
          <cell r="B2504" t="str">
            <v>Usman Zafar Sipra</v>
          </cell>
          <cell r="E2504" t="str">
            <v>ME</v>
          </cell>
          <cell r="F2504" t="str">
            <v>AM</v>
          </cell>
          <cell r="H2504">
            <v>118</v>
          </cell>
          <cell r="I2504">
            <v>10000</v>
          </cell>
          <cell r="K2504">
            <v>1000</v>
          </cell>
        </row>
        <row r="2505">
          <cell r="A2505">
            <v>45078</v>
          </cell>
          <cell r="B2505" t="str">
            <v>Vacant (Hunter Director)</v>
          </cell>
          <cell r="E2505" t="str">
            <v>HUNT</v>
          </cell>
          <cell r="F2505" t="str">
            <v>D</v>
          </cell>
          <cell r="H2505">
            <v>500</v>
          </cell>
          <cell r="I2505">
            <v>25000</v>
          </cell>
          <cell r="K2505">
            <v>2500</v>
          </cell>
        </row>
        <row r="2506">
          <cell r="A2506">
            <v>45078</v>
          </cell>
          <cell r="B2506" t="str">
            <v>Adnan Bashir</v>
          </cell>
          <cell r="E2506" t="str">
            <v>HUNT</v>
          </cell>
          <cell r="F2506" t="str">
            <v>AM</v>
          </cell>
          <cell r="H2506">
            <v>100</v>
          </cell>
          <cell r="I2506">
            <v>5000</v>
          </cell>
          <cell r="K2506">
            <v>500</v>
          </cell>
        </row>
        <row r="2507">
          <cell r="A2507">
            <v>45078</v>
          </cell>
          <cell r="B2507" t="str">
            <v>Ammar Aladily</v>
          </cell>
          <cell r="E2507" t="str">
            <v>HUNT</v>
          </cell>
          <cell r="F2507" t="str">
            <v>AM</v>
          </cell>
          <cell r="H2507">
            <v>100</v>
          </cell>
          <cell r="I2507">
            <v>5000</v>
          </cell>
          <cell r="K2507">
            <v>500</v>
          </cell>
        </row>
        <row r="2508">
          <cell r="A2508">
            <v>45078</v>
          </cell>
          <cell r="B2508" t="str">
            <v>Favas Kurinhilayil</v>
          </cell>
          <cell r="E2508" t="str">
            <v>HUNT</v>
          </cell>
          <cell r="F2508" t="str">
            <v>AM</v>
          </cell>
          <cell r="H2508">
            <v>100</v>
          </cell>
          <cell r="I2508">
            <v>5000</v>
          </cell>
          <cell r="K2508">
            <v>500</v>
          </cell>
        </row>
        <row r="2509">
          <cell r="A2509">
            <v>45078</v>
          </cell>
          <cell r="B2509" t="str">
            <v>Othman Hassan</v>
          </cell>
          <cell r="E2509" t="str">
            <v>HUNT</v>
          </cell>
          <cell r="F2509" t="str">
            <v>AM</v>
          </cell>
          <cell r="H2509">
            <v>100</v>
          </cell>
          <cell r="I2509">
            <v>5000</v>
          </cell>
          <cell r="K2509">
            <v>500</v>
          </cell>
        </row>
        <row r="2510">
          <cell r="A2510">
            <v>45078</v>
          </cell>
          <cell r="B2510" t="str">
            <v>Shiraz Niazi</v>
          </cell>
          <cell r="E2510" t="str">
            <v>HUNT</v>
          </cell>
          <cell r="F2510" t="str">
            <v>AM</v>
          </cell>
          <cell r="H2510">
            <v>100</v>
          </cell>
          <cell r="I2510">
            <v>5000</v>
          </cell>
          <cell r="K2510">
            <v>500</v>
          </cell>
        </row>
        <row r="2511">
          <cell r="A2511">
            <v>45078</v>
          </cell>
          <cell r="B2511" t="str">
            <v>Muhammad Shahzad Hasan</v>
          </cell>
          <cell r="E2511" t="str">
            <v>TRM</v>
          </cell>
          <cell r="F2511" t="str">
            <v>D</v>
          </cell>
          <cell r="H2511">
            <v>1400</v>
          </cell>
          <cell r="I2511">
            <v>180000</v>
          </cell>
          <cell r="K2511">
            <v>20000</v>
          </cell>
        </row>
        <row r="2512">
          <cell r="A2512">
            <v>45078</v>
          </cell>
          <cell r="B2512" t="str">
            <v>Eslam Hassan</v>
          </cell>
          <cell r="E2512" t="str">
            <v>TRM</v>
          </cell>
          <cell r="F2512" t="str">
            <v>AM</v>
          </cell>
          <cell r="H2512">
            <v>156</v>
          </cell>
          <cell r="I2512">
            <v>16250</v>
          </cell>
          <cell r="K2512">
            <v>1875</v>
          </cell>
        </row>
        <row r="2513">
          <cell r="A2513">
            <v>45078</v>
          </cell>
          <cell r="B2513" t="str">
            <v>Khaled Abdelaziz</v>
          </cell>
          <cell r="E2513" t="str">
            <v>TRM</v>
          </cell>
          <cell r="F2513" t="str">
            <v>AM</v>
          </cell>
          <cell r="H2513">
            <v>155</v>
          </cell>
          <cell r="I2513">
            <v>16250</v>
          </cell>
          <cell r="K2513">
            <v>1875</v>
          </cell>
        </row>
        <row r="2514">
          <cell r="A2514">
            <v>45078</v>
          </cell>
          <cell r="B2514" t="str">
            <v>Mohamad Labban</v>
          </cell>
          <cell r="E2514" t="str">
            <v>TRM</v>
          </cell>
          <cell r="F2514" t="str">
            <v>AM</v>
          </cell>
          <cell r="H2514">
            <v>155</v>
          </cell>
          <cell r="I2514">
            <v>16250</v>
          </cell>
          <cell r="K2514">
            <v>5000</v>
          </cell>
        </row>
        <row r="2515">
          <cell r="A2515">
            <v>45078</v>
          </cell>
          <cell r="B2515" t="str">
            <v>Mohamed Kishk</v>
          </cell>
          <cell r="E2515" t="str">
            <v>TRM</v>
          </cell>
          <cell r="F2515" t="str">
            <v>AM</v>
          </cell>
          <cell r="H2515">
            <v>157</v>
          </cell>
          <cell r="I2515">
            <v>16250</v>
          </cell>
          <cell r="K2515">
            <v>1875</v>
          </cell>
        </row>
        <row r="2516">
          <cell r="A2516">
            <v>45078</v>
          </cell>
          <cell r="B2516" t="str">
            <v>Mushahid Hussain Syed</v>
          </cell>
          <cell r="E2516" t="str">
            <v>TRM</v>
          </cell>
          <cell r="F2516" t="str">
            <v>AM</v>
          </cell>
          <cell r="H2516">
            <v>155</v>
          </cell>
          <cell r="I2516">
            <v>16250</v>
          </cell>
          <cell r="K2516">
            <v>1875</v>
          </cell>
        </row>
        <row r="2517">
          <cell r="A2517">
            <v>45078</v>
          </cell>
          <cell r="B2517" t="str">
            <v>Osama ElWawi</v>
          </cell>
          <cell r="E2517" t="str">
            <v>TRM</v>
          </cell>
          <cell r="F2517" t="str">
            <v>AM</v>
          </cell>
          <cell r="H2517">
            <v>156</v>
          </cell>
          <cell r="I2517">
            <v>50000</v>
          </cell>
          <cell r="K2517">
            <v>1875</v>
          </cell>
        </row>
        <row r="2518">
          <cell r="A2518">
            <v>45078</v>
          </cell>
          <cell r="B2518" t="str">
            <v>Sara Alblooshi</v>
          </cell>
          <cell r="E2518" t="str">
            <v>TRM</v>
          </cell>
          <cell r="F2518" t="str">
            <v>AM</v>
          </cell>
          <cell r="H2518">
            <v>155</v>
          </cell>
          <cell r="I2518">
            <v>16250</v>
          </cell>
          <cell r="K2518">
            <v>1875</v>
          </cell>
        </row>
        <row r="2519">
          <cell r="A2519">
            <v>45078</v>
          </cell>
          <cell r="B2519" t="str">
            <v>Simon Williams</v>
          </cell>
          <cell r="E2519" t="str">
            <v>TRM</v>
          </cell>
          <cell r="F2519" t="str">
            <v>AM</v>
          </cell>
          <cell r="H2519">
            <v>156</v>
          </cell>
          <cell r="I2519">
            <v>16250</v>
          </cell>
          <cell r="K2519">
            <v>1875</v>
          </cell>
        </row>
        <row r="2520">
          <cell r="A2520">
            <v>45078</v>
          </cell>
          <cell r="B2520" t="str">
            <v>Syed Naqvi</v>
          </cell>
          <cell r="E2520" t="str">
            <v>TRM</v>
          </cell>
          <cell r="F2520" t="str">
            <v>AM</v>
          </cell>
          <cell r="H2520">
            <v>155</v>
          </cell>
          <cell r="I2520">
            <v>16250</v>
          </cell>
          <cell r="K2520">
            <v>1875</v>
          </cell>
        </row>
        <row r="2521">
          <cell r="A2521">
            <v>45078</v>
          </cell>
          <cell r="B2521" t="str">
            <v>Mazen Adem</v>
          </cell>
          <cell r="E2521" t="str">
            <v>FOGH</v>
          </cell>
          <cell r="F2521" t="str">
            <v>D</v>
          </cell>
          <cell r="H2521">
            <v>1400</v>
          </cell>
          <cell r="I2521">
            <v>200000</v>
          </cell>
          <cell r="K2521">
            <v>20000</v>
          </cell>
        </row>
        <row r="2522">
          <cell r="A2522">
            <v>45078</v>
          </cell>
          <cell r="B2522" t="str">
            <v>Abdel Azim Sharabati</v>
          </cell>
          <cell r="E2522" t="str">
            <v>FOGH</v>
          </cell>
          <cell r="F2522" t="str">
            <v>AM</v>
          </cell>
          <cell r="H2522">
            <v>150</v>
          </cell>
          <cell r="I2522">
            <v>40000</v>
          </cell>
          <cell r="K2522">
            <v>2000</v>
          </cell>
        </row>
        <row r="2523">
          <cell r="A2523">
            <v>45078</v>
          </cell>
          <cell r="B2523" t="str">
            <v>Abraham Cherian</v>
          </cell>
          <cell r="E2523" t="str">
            <v>FOGH</v>
          </cell>
          <cell r="F2523" t="str">
            <v>AM</v>
          </cell>
          <cell r="H2523">
            <v>130</v>
          </cell>
          <cell r="I2523">
            <v>15000</v>
          </cell>
          <cell r="K2523">
            <v>2000</v>
          </cell>
        </row>
        <row r="2524">
          <cell r="A2524">
            <v>45078</v>
          </cell>
          <cell r="B2524" t="str">
            <v>Arjun Subaraman</v>
          </cell>
          <cell r="E2524" t="str">
            <v>FOGH</v>
          </cell>
          <cell r="F2524" t="str">
            <v>AM</v>
          </cell>
          <cell r="H2524">
            <v>140</v>
          </cell>
          <cell r="I2524">
            <v>12000</v>
          </cell>
          <cell r="K2524">
            <v>2000</v>
          </cell>
        </row>
        <row r="2525">
          <cell r="A2525">
            <v>45078</v>
          </cell>
          <cell r="B2525" t="str">
            <v>Ghassan Fouany</v>
          </cell>
          <cell r="E2525" t="str">
            <v>FOGH</v>
          </cell>
          <cell r="F2525" t="str">
            <v>AM</v>
          </cell>
          <cell r="H2525">
            <v>150</v>
          </cell>
          <cell r="I2525">
            <v>20000</v>
          </cell>
          <cell r="K2525">
            <v>2000</v>
          </cell>
        </row>
        <row r="2526">
          <cell r="A2526">
            <v>45078</v>
          </cell>
          <cell r="B2526" t="str">
            <v>Inayat Fazili</v>
          </cell>
          <cell r="E2526" t="str">
            <v>FOGH</v>
          </cell>
          <cell r="F2526" t="str">
            <v>AM</v>
          </cell>
          <cell r="H2526">
            <v>150</v>
          </cell>
          <cell r="I2526">
            <v>16000</v>
          </cell>
          <cell r="K2526">
            <v>2000</v>
          </cell>
        </row>
        <row r="2527">
          <cell r="A2527">
            <v>45078</v>
          </cell>
          <cell r="B2527" t="str">
            <v>Jalal Ismail</v>
          </cell>
          <cell r="E2527" t="str">
            <v>FOGH</v>
          </cell>
          <cell r="F2527" t="str">
            <v>AM</v>
          </cell>
          <cell r="H2527">
            <v>120</v>
          </cell>
          <cell r="I2527">
            <v>10000</v>
          </cell>
          <cell r="K2527">
            <v>2000</v>
          </cell>
        </row>
        <row r="2528">
          <cell r="A2528">
            <v>45078</v>
          </cell>
          <cell r="B2528" t="str">
            <v>Mohamed Mostafa</v>
          </cell>
          <cell r="E2528" t="str">
            <v>FOGH</v>
          </cell>
          <cell r="F2528" t="str">
            <v>AM</v>
          </cell>
          <cell r="H2528">
            <v>150</v>
          </cell>
          <cell r="I2528">
            <v>40000</v>
          </cell>
          <cell r="K2528">
            <v>2000</v>
          </cell>
        </row>
        <row r="2529">
          <cell r="A2529">
            <v>45078</v>
          </cell>
          <cell r="B2529" t="str">
            <v>Mohd Sheikh Salem</v>
          </cell>
          <cell r="E2529" t="str">
            <v>FOGH</v>
          </cell>
          <cell r="F2529" t="str">
            <v>AM</v>
          </cell>
          <cell r="H2529">
            <v>120</v>
          </cell>
          <cell r="I2529">
            <v>11000</v>
          </cell>
          <cell r="K2529">
            <v>2000</v>
          </cell>
        </row>
        <row r="2530">
          <cell r="A2530">
            <v>45078</v>
          </cell>
          <cell r="B2530" t="str">
            <v>Nadeem Rasheed</v>
          </cell>
          <cell r="E2530" t="str">
            <v>FOGH</v>
          </cell>
          <cell r="F2530" t="str">
            <v>AM</v>
          </cell>
          <cell r="H2530">
            <v>140</v>
          </cell>
          <cell r="I2530">
            <v>17000</v>
          </cell>
          <cell r="K2530">
            <v>2000</v>
          </cell>
        </row>
        <row r="2531">
          <cell r="A2531">
            <v>45078</v>
          </cell>
          <cell r="B2531" t="str">
            <v>Ramy Abdel Fattah</v>
          </cell>
          <cell r="E2531" t="str">
            <v>FOGH</v>
          </cell>
          <cell r="F2531" t="str">
            <v>AM</v>
          </cell>
          <cell r="H2531">
            <v>150</v>
          </cell>
          <cell r="I2531">
            <v>19000</v>
          </cell>
          <cell r="K2531">
            <v>2000</v>
          </cell>
        </row>
        <row r="2532">
          <cell r="A2532">
            <v>45078</v>
          </cell>
          <cell r="B2532" t="str">
            <v>Hany Jawee</v>
          </cell>
          <cell r="E2532" t="str">
            <v>TRE</v>
          </cell>
          <cell r="F2532" t="str">
            <v>D</v>
          </cell>
          <cell r="H2532">
            <v>1400</v>
          </cell>
          <cell r="I2532">
            <v>180000</v>
          </cell>
          <cell r="K2532">
            <v>20000</v>
          </cell>
        </row>
        <row r="2533">
          <cell r="A2533">
            <v>45078</v>
          </cell>
          <cell r="B2533" t="str">
            <v>Ahmad Ozdamir</v>
          </cell>
          <cell r="E2533" t="str">
            <v>TRE</v>
          </cell>
          <cell r="F2533" t="str">
            <v>AM</v>
          </cell>
          <cell r="H2533">
            <v>145</v>
          </cell>
          <cell r="I2533">
            <v>18598</v>
          </cell>
          <cell r="K2533">
            <v>1308</v>
          </cell>
        </row>
        <row r="2534">
          <cell r="A2534">
            <v>45078</v>
          </cell>
          <cell r="B2534" t="str">
            <v>Amjad Ilwan</v>
          </cell>
          <cell r="E2534" t="str">
            <v>TRE</v>
          </cell>
          <cell r="F2534" t="str">
            <v>AM</v>
          </cell>
          <cell r="H2534">
            <v>145</v>
          </cell>
          <cell r="I2534">
            <v>21469</v>
          </cell>
          <cell r="K2534">
            <v>2138</v>
          </cell>
        </row>
        <row r="2535">
          <cell r="A2535">
            <v>45078</v>
          </cell>
          <cell r="B2535" t="str">
            <v>Ehab Hajou</v>
          </cell>
          <cell r="E2535" t="str">
            <v>TRE</v>
          </cell>
          <cell r="F2535" t="str">
            <v>AM</v>
          </cell>
          <cell r="H2535">
            <v>145</v>
          </cell>
          <cell r="I2535">
            <v>25237</v>
          </cell>
          <cell r="K2535">
            <v>1898</v>
          </cell>
        </row>
        <row r="2536">
          <cell r="A2536">
            <v>45078</v>
          </cell>
          <cell r="B2536" t="str">
            <v>Fadi Saleh</v>
          </cell>
          <cell r="E2536" t="str">
            <v>TRE</v>
          </cell>
          <cell r="F2536" t="str">
            <v>AM</v>
          </cell>
          <cell r="H2536">
            <v>145</v>
          </cell>
          <cell r="I2536">
            <v>16590</v>
          </cell>
          <cell r="K2536">
            <v>1898</v>
          </cell>
        </row>
        <row r="2537">
          <cell r="A2537">
            <v>45078</v>
          </cell>
          <cell r="B2537" t="str">
            <v>Majid Abdulla</v>
          </cell>
          <cell r="E2537" t="str">
            <v>TRE</v>
          </cell>
          <cell r="F2537" t="str">
            <v>AM</v>
          </cell>
          <cell r="H2537">
            <v>58</v>
          </cell>
          <cell r="I2537">
            <v>4589</v>
          </cell>
          <cell r="K2537">
            <v>428</v>
          </cell>
        </row>
        <row r="2538">
          <cell r="A2538">
            <v>45078</v>
          </cell>
          <cell r="B2538" t="str">
            <v>Mehfooz Mir</v>
          </cell>
          <cell r="E2538" t="str">
            <v>TRE</v>
          </cell>
          <cell r="F2538" t="str">
            <v>AM</v>
          </cell>
          <cell r="H2538">
            <v>97</v>
          </cell>
          <cell r="I2538">
            <v>11352.5</v>
          </cell>
          <cell r="K2538">
            <v>1324.5</v>
          </cell>
        </row>
        <row r="2539">
          <cell r="A2539">
            <v>45078</v>
          </cell>
          <cell r="B2539" t="str">
            <v>Mostafa Mekawy</v>
          </cell>
          <cell r="E2539" t="str">
            <v>TRE</v>
          </cell>
          <cell r="F2539" t="str">
            <v>AM</v>
          </cell>
          <cell r="H2539">
            <v>118</v>
          </cell>
          <cell r="I2539">
            <v>11589</v>
          </cell>
          <cell r="K2539">
            <v>1308</v>
          </cell>
        </row>
        <row r="2540">
          <cell r="A2540">
            <v>45078</v>
          </cell>
          <cell r="B2540" t="str">
            <v>Peter Sedrak</v>
          </cell>
          <cell r="E2540" t="str">
            <v>TRE</v>
          </cell>
          <cell r="F2540" t="str">
            <v>AM</v>
          </cell>
          <cell r="H2540">
            <v>97</v>
          </cell>
          <cell r="I2540">
            <v>11352.5</v>
          </cell>
          <cell r="K2540">
            <v>1324.5</v>
          </cell>
        </row>
        <row r="2541">
          <cell r="A2541">
            <v>45078</v>
          </cell>
          <cell r="B2541" t="str">
            <v>Rijith Menon</v>
          </cell>
          <cell r="E2541" t="str">
            <v>TRE</v>
          </cell>
          <cell r="F2541" t="str">
            <v>AM</v>
          </cell>
          <cell r="H2541">
            <v>160</v>
          </cell>
          <cell r="I2541">
            <v>17653</v>
          </cell>
          <cell r="K2541">
            <v>3680</v>
          </cell>
        </row>
        <row r="2542">
          <cell r="A2542">
            <v>45078</v>
          </cell>
          <cell r="B2542" t="str">
            <v>Suleiman Wanni</v>
          </cell>
          <cell r="E2542" t="str">
            <v>TRE</v>
          </cell>
          <cell r="F2542" t="str">
            <v>AM</v>
          </cell>
          <cell r="H2542">
            <v>145</v>
          </cell>
          <cell r="I2542">
            <v>20897</v>
          </cell>
          <cell r="K2542">
            <v>2613</v>
          </cell>
        </row>
        <row r="2543">
          <cell r="A2543">
            <v>45078</v>
          </cell>
          <cell r="B2543" t="str">
            <v>Waseem Suhaf</v>
          </cell>
          <cell r="E2543" t="str">
            <v>TRE</v>
          </cell>
          <cell r="F2543" t="str">
            <v>AM</v>
          </cell>
          <cell r="H2543">
            <v>145</v>
          </cell>
          <cell r="I2543">
            <v>20673</v>
          </cell>
          <cell r="K2543">
            <v>2080</v>
          </cell>
        </row>
        <row r="2544">
          <cell r="A2544">
            <v>45108</v>
          </cell>
          <cell r="B2544" t="str">
            <v>Khalid Karmastaji</v>
          </cell>
          <cell r="E2544" t="str">
            <v>AUH</v>
          </cell>
          <cell r="F2544" t="str">
            <v>D</v>
          </cell>
          <cell r="H2544">
            <v>0</v>
          </cell>
          <cell r="I2544">
            <v>150000</v>
          </cell>
        </row>
        <row r="2545">
          <cell r="A2545">
            <v>45108</v>
          </cell>
          <cell r="B2545" t="str">
            <v>Abdulla Alhashmi</v>
          </cell>
          <cell r="E2545" t="str">
            <v>AUH</v>
          </cell>
          <cell r="F2545" t="str">
            <v>AM</v>
          </cell>
          <cell r="H2545">
            <v>0</v>
          </cell>
          <cell r="I2545">
            <v>5500</v>
          </cell>
        </row>
        <row r="2546">
          <cell r="A2546">
            <v>45108</v>
          </cell>
          <cell r="B2546" t="str">
            <v>Ammar Alqudsi</v>
          </cell>
          <cell r="E2546" t="str">
            <v>AUH</v>
          </cell>
          <cell r="F2546" t="str">
            <v>AM</v>
          </cell>
          <cell r="H2546">
            <v>0</v>
          </cell>
          <cell r="I2546">
            <v>5000</v>
          </cell>
        </row>
        <row r="2547">
          <cell r="A2547">
            <v>45108</v>
          </cell>
          <cell r="B2547" t="str">
            <v>Humaid Almaazmi</v>
          </cell>
          <cell r="E2547" t="str">
            <v>AUH</v>
          </cell>
          <cell r="F2547" t="str">
            <v>AM</v>
          </cell>
          <cell r="H2547">
            <v>0</v>
          </cell>
          <cell r="I2547">
            <v>5500</v>
          </cell>
        </row>
        <row r="2548">
          <cell r="A2548">
            <v>45108</v>
          </cell>
          <cell r="B2548" t="str">
            <v>Khamis Almakrani</v>
          </cell>
          <cell r="E2548" t="str">
            <v>AUH</v>
          </cell>
          <cell r="F2548" t="str">
            <v>AM</v>
          </cell>
          <cell r="H2548">
            <v>0</v>
          </cell>
          <cell r="I2548">
            <v>5000</v>
          </cell>
        </row>
        <row r="2549">
          <cell r="A2549">
            <v>45108</v>
          </cell>
          <cell r="B2549" t="str">
            <v>Muhammad Ismail</v>
          </cell>
          <cell r="E2549" t="str">
            <v>AUH</v>
          </cell>
          <cell r="F2549" t="str">
            <v>AM</v>
          </cell>
          <cell r="H2549">
            <v>0</v>
          </cell>
          <cell r="I2549">
            <v>5000</v>
          </cell>
        </row>
        <row r="2550">
          <cell r="A2550">
            <v>45108</v>
          </cell>
          <cell r="B2550" t="str">
            <v>Muhammad Nauman Khan</v>
          </cell>
          <cell r="E2550" t="str">
            <v>AUH</v>
          </cell>
          <cell r="F2550" t="str">
            <v>AM</v>
          </cell>
          <cell r="H2550">
            <v>0</v>
          </cell>
          <cell r="I2550">
            <v>5000</v>
          </cell>
        </row>
        <row r="2551">
          <cell r="A2551">
            <v>45108</v>
          </cell>
          <cell r="B2551" t="str">
            <v>Omar AlHammadi</v>
          </cell>
          <cell r="E2551" t="str">
            <v>AUH</v>
          </cell>
          <cell r="F2551" t="str">
            <v>AM</v>
          </cell>
          <cell r="H2551">
            <v>0</v>
          </cell>
          <cell r="I2551">
            <v>5000</v>
          </cell>
        </row>
        <row r="2552">
          <cell r="A2552">
            <v>45108</v>
          </cell>
          <cell r="B2552" t="str">
            <v>Tarek Solh</v>
          </cell>
          <cell r="E2552" t="str">
            <v>AUH</v>
          </cell>
          <cell r="F2552" t="str">
            <v>AM</v>
          </cell>
          <cell r="H2552">
            <v>0</v>
          </cell>
          <cell r="I2552">
            <v>110000</v>
          </cell>
        </row>
        <row r="2553">
          <cell r="A2553">
            <v>45108</v>
          </cell>
          <cell r="B2553" t="str">
            <v>Yousef Alhosani</v>
          </cell>
          <cell r="E2553" t="str">
            <v>AUH</v>
          </cell>
          <cell r="F2553" t="str">
            <v>AM</v>
          </cell>
          <cell r="H2553">
            <v>0</v>
          </cell>
          <cell r="I2553">
            <v>4000</v>
          </cell>
        </row>
        <row r="2554">
          <cell r="A2554">
            <v>45108</v>
          </cell>
          <cell r="B2554" t="str">
            <v>Khaled Alawadi</v>
          </cell>
          <cell r="E2554" t="str">
            <v>F-NE</v>
          </cell>
          <cell r="F2554" t="str">
            <v>D</v>
          </cell>
          <cell r="H2554">
            <v>0</v>
          </cell>
          <cell r="I2554">
            <v>80000</v>
          </cell>
        </row>
        <row r="2555">
          <cell r="A2555">
            <v>45108</v>
          </cell>
          <cell r="B2555" t="str">
            <v>Ahmed AlShehhi</v>
          </cell>
          <cell r="E2555" t="str">
            <v>F-NE</v>
          </cell>
          <cell r="F2555" t="str">
            <v>AM</v>
          </cell>
          <cell r="H2555">
            <v>0</v>
          </cell>
          <cell r="I2555">
            <v>2500</v>
          </cell>
        </row>
        <row r="2556">
          <cell r="A2556">
            <v>45108</v>
          </cell>
          <cell r="B2556" t="str">
            <v>Bader Al Shehhi</v>
          </cell>
          <cell r="E2556" t="str">
            <v>F-NE</v>
          </cell>
          <cell r="F2556" t="str">
            <v>AM</v>
          </cell>
          <cell r="H2556">
            <v>0</v>
          </cell>
          <cell r="I2556">
            <v>5000</v>
          </cell>
        </row>
        <row r="2557">
          <cell r="A2557">
            <v>45108</v>
          </cell>
          <cell r="B2557" t="str">
            <v>Bashar Al Adilee</v>
          </cell>
          <cell r="E2557" t="str">
            <v>F-NE</v>
          </cell>
          <cell r="F2557" t="str">
            <v>AM</v>
          </cell>
          <cell r="H2557">
            <v>0</v>
          </cell>
          <cell r="I2557">
            <v>35500</v>
          </cell>
        </row>
        <row r="2558">
          <cell r="A2558">
            <v>45108</v>
          </cell>
          <cell r="B2558" t="str">
            <v>Khalid Mohammed</v>
          </cell>
          <cell r="E2558" t="str">
            <v>F-NE</v>
          </cell>
          <cell r="F2558" t="str">
            <v>AM</v>
          </cell>
          <cell r="H2558">
            <v>0</v>
          </cell>
          <cell r="I2558">
            <v>5000</v>
          </cell>
        </row>
        <row r="2559">
          <cell r="A2559">
            <v>45108</v>
          </cell>
          <cell r="B2559" t="str">
            <v>Majd Nairoukh</v>
          </cell>
          <cell r="E2559" t="str">
            <v>F-NE</v>
          </cell>
          <cell r="F2559" t="str">
            <v>AM</v>
          </cell>
          <cell r="H2559">
            <v>0</v>
          </cell>
          <cell r="I2559">
            <v>7500</v>
          </cell>
        </row>
        <row r="2560">
          <cell r="A2560">
            <v>45108</v>
          </cell>
          <cell r="B2560" t="str">
            <v>Nader AlMustafa</v>
          </cell>
          <cell r="E2560" t="str">
            <v>F-NE</v>
          </cell>
          <cell r="F2560" t="str">
            <v>AM</v>
          </cell>
          <cell r="H2560">
            <v>0</v>
          </cell>
          <cell r="I2560">
            <v>4000</v>
          </cell>
        </row>
        <row r="2561">
          <cell r="A2561">
            <v>45108</v>
          </cell>
          <cell r="B2561" t="str">
            <v>Yousef Al Baloushi</v>
          </cell>
          <cell r="E2561" t="str">
            <v>F-NE</v>
          </cell>
          <cell r="F2561" t="str">
            <v>AM</v>
          </cell>
          <cell r="H2561">
            <v>0</v>
          </cell>
          <cell r="I2561">
            <v>20500</v>
          </cell>
        </row>
        <row r="2562">
          <cell r="A2562">
            <v>45108</v>
          </cell>
          <cell r="B2562" t="str">
            <v>Mohamad Amer Sibai</v>
          </cell>
          <cell r="E2562" t="str">
            <v>DXB</v>
          </cell>
          <cell r="F2562" t="str">
            <v>D</v>
          </cell>
          <cell r="H2562">
            <v>0</v>
          </cell>
          <cell r="I2562">
            <v>80000</v>
          </cell>
        </row>
        <row r="2563">
          <cell r="A2563">
            <v>45108</v>
          </cell>
          <cell r="B2563" t="str">
            <v>Humaid Al Ali</v>
          </cell>
          <cell r="E2563" t="str">
            <v>DXB</v>
          </cell>
          <cell r="F2563" t="str">
            <v>AM</v>
          </cell>
          <cell r="H2563">
            <v>0</v>
          </cell>
          <cell r="I2563">
            <v>7000</v>
          </cell>
        </row>
        <row r="2564">
          <cell r="A2564">
            <v>45108</v>
          </cell>
          <cell r="B2564" t="str">
            <v>Ali Alzarooni</v>
          </cell>
          <cell r="E2564" t="str">
            <v>DXB</v>
          </cell>
          <cell r="F2564" t="str">
            <v>AM</v>
          </cell>
          <cell r="H2564">
            <v>0</v>
          </cell>
          <cell r="I2564">
            <v>3000</v>
          </cell>
        </row>
        <row r="2565">
          <cell r="A2565">
            <v>45108</v>
          </cell>
          <cell r="B2565" t="str">
            <v>Mohamed Mady</v>
          </cell>
          <cell r="E2565" t="str">
            <v>DXB</v>
          </cell>
          <cell r="F2565" t="str">
            <v>AM</v>
          </cell>
          <cell r="H2565">
            <v>0</v>
          </cell>
          <cell r="I2565">
            <v>35000</v>
          </cell>
        </row>
        <row r="2566">
          <cell r="A2566">
            <v>45108</v>
          </cell>
          <cell r="B2566" t="str">
            <v>Ramzi Gholmieh</v>
          </cell>
          <cell r="E2566" t="str">
            <v>DXB</v>
          </cell>
          <cell r="F2566" t="str">
            <v>AM</v>
          </cell>
          <cell r="H2566">
            <v>0</v>
          </cell>
          <cell r="I2566">
            <v>25000</v>
          </cell>
        </row>
        <row r="2567">
          <cell r="A2567">
            <v>45108</v>
          </cell>
          <cell r="B2567" t="str">
            <v>Talal Ahmed Ali Alsharhan</v>
          </cell>
          <cell r="E2567" t="str">
            <v>DXB</v>
          </cell>
          <cell r="F2567" t="str">
            <v>AM</v>
          </cell>
          <cell r="H2567">
            <v>0</v>
          </cell>
          <cell r="I2567">
            <v>3000</v>
          </cell>
        </row>
        <row r="2568">
          <cell r="A2568">
            <v>45108</v>
          </cell>
          <cell r="B2568" t="str">
            <v>Tariq AlAwadhi</v>
          </cell>
          <cell r="E2568" t="str">
            <v>DXB</v>
          </cell>
          <cell r="F2568" t="str">
            <v>AM</v>
          </cell>
          <cell r="H2568">
            <v>0</v>
          </cell>
          <cell r="I2568">
            <v>7000</v>
          </cell>
        </row>
        <row r="2569">
          <cell r="A2569">
            <v>45108</v>
          </cell>
          <cell r="B2569" t="str">
            <v>Muhammad Shahzad Hasan</v>
          </cell>
          <cell r="E2569" t="str">
            <v>TRM</v>
          </cell>
          <cell r="F2569" t="str">
            <v>D</v>
          </cell>
          <cell r="H2569">
            <v>500</v>
          </cell>
          <cell r="I2569">
            <v>300000</v>
          </cell>
        </row>
        <row r="2570">
          <cell r="A2570">
            <v>45108</v>
          </cell>
          <cell r="B2570" t="str">
            <v>Abdulghaffar Alkhaja</v>
          </cell>
          <cell r="E2570" t="str">
            <v>TRM</v>
          </cell>
          <cell r="F2570" t="str">
            <v>AM</v>
          </cell>
          <cell r="H2570">
            <v>55</v>
          </cell>
          <cell r="I2570">
            <v>30000</v>
          </cell>
        </row>
        <row r="2571">
          <cell r="A2571">
            <v>45108</v>
          </cell>
          <cell r="B2571" t="str">
            <v>Eslam Hassan</v>
          </cell>
          <cell r="E2571" t="str">
            <v>TRM</v>
          </cell>
          <cell r="F2571" t="str">
            <v>AM</v>
          </cell>
          <cell r="H2571">
            <v>55</v>
          </cell>
          <cell r="I2571">
            <v>30000</v>
          </cell>
        </row>
        <row r="2572">
          <cell r="A2572">
            <v>45108</v>
          </cell>
          <cell r="B2572" t="str">
            <v>Khaled Abdelaziz</v>
          </cell>
          <cell r="E2572" t="str">
            <v>TRM</v>
          </cell>
          <cell r="F2572" t="str">
            <v>AM</v>
          </cell>
          <cell r="H2572">
            <v>55</v>
          </cell>
          <cell r="I2572">
            <v>30000</v>
          </cell>
        </row>
        <row r="2573">
          <cell r="A2573">
            <v>45108</v>
          </cell>
          <cell r="B2573" t="str">
            <v>Mohamad Labban</v>
          </cell>
          <cell r="E2573" t="str">
            <v>TRM</v>
          </cell>
          <cell r="F2573" t="str">
            <v>AM</v>
          </cell>
          <cell r="H2573">
            <v>55</v>
          </cell>
          <cell r="I2573">
            <v>30000</v>
          </cell>
        </row>
        <row r="2574">
          <cell r="A2574">
            <v>45108</v>
          </cell>
          <cell r="B2574" t="str">
            <v>Mohamed Kishk</v>
          </cell>
          <cell r="E2574" t="str">
            <v>TRM</v>
          </cell>
          <cell r="F2574" t="str">
            <v>AM</v>
          </cell>
          <cell r="H2574">
            <v>55</v>
          </cell>
          <cell r="I2574">
            <v>30000</v>
          </cell>
        </row>
        <row r="2575">
          <cell r="A2575">
            <v>45108</v>
          </cell>
          <cell r="B2575" t="str">
            <v>Mushahid Hussain Syed</v>
          </cell>
          <cell r="E2575" t="str">
            <v>TRM</v>
          </cell>
          <cell r="F2575" t="str">
            <v>AM</v>
          </cell>
          <cell r="H2575">
            <v>60</v>
          </cell>
          <cell r="I2575">
            <v>30000</v>
          </cell>
        </row>
        <row r="2576">
          <cell r="A2576">
            <v>45108</v>
          </cell>
          <cell r="B2576" t="str">
            <v>Osama ElWawi</v>
          </cell>
          <cell r="E2576" t="str">
            <v>TRM</v>
          </cell>
          <cell r="F2576" t="str">
            <v>AM</v>
          </cell>
          <cell r="H2576">
            <v>55</v>
          </cell>
          <cell r="I2576">
            <v>30000</v>
          </cell>
        </row>
        <row r="2577">
          <cell r="A2577">
            <v>45108</v>
          </cell>
          <cell r="B2577" t="str">
            <v>Sara Alblooshi</v>
          </cell>
          <cell r="E2577" t="str">
            <v>TRM</v>
          </cell>
          <cell r="F2577" t="str">
            <v>AM</v>
          </cell>
          <cell r="H2577">
            <v>55</v>
          </cell>
          <cell r="I2577">
            <v>30000</v>
          </cell>
        </row>
        <row r="2578">
          <cell r="A2578">
            <v>45108</v>
          </cell>
          <cell r="B2578" t="str">
            <v>Simon Williams</v>
          </cell>
          <cell r="E2578" t="str">
            <v>TRM</v>
          </cell>
          <cell r="F2578" t="str">
            <v>AM</v>
          </cell>
          <cell r="H2578">
            <v>55</v>
          </cell>
          <cell r="I2578">
            <v>60000</v>
          </cell>
        </row>
        <row r="2579">
          <cell r="A2579">
            <v>45108</v>
          </cell>
          <cell r="B2579" t="str">
            <v>Mohamed AlZarooni</v>
          </cell>
          <cell r="E2579" t="str">
            <v>HUNT</v>
          </cell>
          <cell r="F2579" t="str">
            <v>D</v>
          </cell>
          <cell r="H2579">
            <v>1000</v>
          </cell>
          <cell r="I2579">
            <v>20000</v>
          </cell>
        </row>
        <row r="2580">
          <cell r="A2580">
            <v>45108</v>
          </cell>
          <cell r="B2580" t="str">
            <v>Adnan Bashir</v>
          </cell>
          <cell r="E2580" t="str">
            <v>HUNT</v>
          </cell>
          <cell r="F2580" t="str">
            <v>AM</v>
          </cell>
          <cell r="H2580">
            <v>200</v>
          </cell>
          <cell r="I2580">
            <v>4000</v>
          </cell>
        </row>
        <row r="2581">
          <cell r="A2581">
            <v>45108</v>
          </cell>
          <cell r="B2581" t="str">
            <v>Ammar Aladily</v>
          </cell>
          <cell r="E2581" t="str">
            <v>HUNT</v>
          </cell>
          <cell r="F2581" t="str">
            <v>AM</v>
          </cell>
          <cell r="H2581">
            <v>200</v>
          </cell>
          <cell r="I2581">
            <v>4000</v>
          </cell>
        </row>
        <row r="2582">
          <cell r="A2582">
            <v>45108</v>
          </cell>
          <cell r="B2582" t="str">
            <v>Favas Kurinhilayil</v>
          </cell>
          <cell r="E2582" t="str">
            <v>HUNT</v>
          </cell>
          <cell r="F2582" t="str">
            <v>AM</v>
          </cell>
          <cell r="H2582">
            <v>200</v>
          </cell>
          <cell r="I2582">
            <v>4000</v>
          </cell>
        </row>
        <row r="2583">
          <cell r="A2583">
            <v>45108</v>
          </cell>
          <cell r="B2583" t="str">
            <v>Othman Hassan</v>
          </cell>
          <cell r="E2583" t="str">
            <v>HUNT</v>
          </cell>
          <cell r="F2583" t="str">
            <v>AM</v>
          </cell>
          <cell r="H2583">
            <v>200</v>
          </cell>
          <cell r="I2583">
            <v>4000</v>
          </cell>
        </row>
        <row r="2584">
          <cell r="A2584">
            <v>45108</v>
          </cell>
          <cell r="B2584" t="str">
            <v>Shiraz Niazi</v>
          </cell>
          <cell r="E2584" t="str">
            <v>HUNT</v>
          </cell>
          <cell r="F2584" t="str">
            <v>AM</v>
          </cell>
          <cell r="H2584">
            <v>200</v>
          </cell>
          <cell r="I2584">
            <v>4000</v>
          </cell>
        </row>
        <row r="2585">
          <cell r="A2585">
            <v>45108</v>
          </cell>
          <cell r="B2585" t="str">
            <v>Mazen Adem</v>
          </cell>
          <cell r="E2585" t="str">
            <v>FOGH</v>
          </cell>
          <cell r="F2585" t="str">
            <v>D</v>
          </cell>
          <cell r="H2585">
            <v>1400</v>
          </cell>
          <cell r="I2585">
            <v>200000</v>
          </cell>
        </row>
        <row r="2586">
          <cell r="A2586">
            <v>45108</v>
          </cell>
          <cell r="B2586" t="str">
            <v>Abdel Azim Sharabati</v>
          </cell>
          <cell r="E2586" t="str">
            <v>FOGH</v>
          </cell>
          <cell r="F2586" t="str">
            <v>AM</v>
          </cell>
          <cell r="H2586">
            <v>70</v>
          </cell>
          <cell r="I2586">
            <v>35000</v>
          </cell>
        </row>
        <row r="2587">
          <cell r="A2587">
            <v>45108</v>
          </cell>
          <cell r="B2587" t="str">
            <v>Abraham Cherian</v>
          </cell>
          <cell r="E2587" t="str">
            <v>FOGH</v>
          </cell>
          <cell r="F2587" t="str">
            <v>AM</v>
          </cell>
          <cell r="H2587">
            <v>120</v>
          </cell>
          <cell r="I2587">
            <v>15000</v>
          </cell>
        </row>
        <row r="2588">
          <cell r="A2588">
            <v>45108</v>
          </cell>
          <cell r="B2588" t="str">
            <v>Arjun Subaraman</v>
          </cell>
          <cell r="E2588" t="str">
            <v>FOGH</v>
          </cell>
          <cell r="F2588" t="str">
            <v>AM</v>
          </cell>
          <cell r="H2588">
            <v>200</v>
          </cell>
          <cell r="I2588">
            <v>12000</v>
          </cell>
        </row>
        <row r="2589">
          <cell r="A2589">
            <v>45108</v>
          </cell>
          <cell r="B2589" t="str">
            <v>Ghassan Fouany</v>
          </cell>
          <cell r="E2589" t="str">
            <v>FOGH</v>
          </cell>
          <cell r="F2589" t="str">
            <v>AM</v>
          </cell>
          <cell r="H2589">
            <v>250</v>
          </cell>
          <cell r="I2589">
            <v>13000</v>
          </cell>
        </row>
        <row r="2590">
          <cell r="A2590">
            <v>45108</v>
          </cell>
          <cell r="B2590" t="str">
            <v>Inayat Fazili</v>
          </cell>
          <cell r="E2590" t="str">
            <v>FOGH</v>
          </cell>
          <cell r="F2590" t="str">
            <v>AM</v>
          </cell>
          <cell r="H2590">
            <v>90</v>
          </cell>
          <cell r="I2590">
            <v>14000</v>
          </cell>
        </row>
        <row r="2591">
          <cell r="A2591">
            <v>45108</v>
          </cell>
          <cell r="B2591" t="str">
            <v>Jalal Ismail</v>
          </cell>
          <cell r="E2591" t="str">
            <v>FOGH</v>
          </cell>
          <cell r="F2591" t="str">
            <v>AM</v>
          </cell>
          <cell r="H2591">
            <v>100</v>
          </cell>
          <cell r="I2591">
            <v>16000</v>
          </cell>
        </row>
        <row r="2592">
          <cell r="A2592">
            <v>45108</v>
          </cell>
          <cell r="B2592" t="str">
            <v>Mohamed Mostafa</v>
          </cell>
          <cell r="E2592" t="str">
            <v>FOGH</v>
          </cell>
          <cell r="F2592" t="str">
            <v>AM</v>
          </cell>
          <cell r="H2592">
            <v>250</v>
          </cell>
          <cell r="I2592">
            <v>47000</v>
          </cell>
        </row>
        <row r="2593">
          <cell r="A2593">
            <v>45108</v>
          </cell>
          <cell r="B2593" t="str">
            <v>Mohd Sheikh Salem</v>
          </cell>
          <cell r="E2593" t="str">
            <v>FOGH</v>
          </cell>
          <cell r="F2593" t="str">
            <v>AM</v>
          </cell>
          <cell r="H2593">
            <v>120</v>
          </cell>
          <cell r="I2593">
            <v>13000</v>
          </cell>
        </row>
        <row r="2594">
          <cell r="A2594">
            <v>45108</v>
          </cell>
          <cell r="B2594" t="str">
            <v>Nadeem Rasheed</v>
          </cell>
          <cell r="E2594" t="str">
            <v>FOGH</v>
          </cell>
          <cell r="F2594" t="str">
            <v>AM</v>
          </cell>
          <cell r="H2594">
            <v>100</v>
          </cell>
          <cell r="I2594">
            <v>18000</v>
          </cell>
        </row>
        <row r="2595">
          <cell r="A2595">
            <v>45108</v>
          </cell>
          <cell r="B2595" t="str">
            <v>Ramy Abdel Fattah</v>
          </cell>
          <cell r="E2595" t="str">
            <v>FOGH</v>
          </cell>
          <cell r="F2595" t="str">
            <v>AM</v>
          </cell>
          <cell r="H2595">
            <v>100</v>
          </cell>
          <cell r="I2595">
            <v>17000</v>
          </cell>
        </row>
        <row r="2596">
          <cell r="A2596">
            <v>45108</v>
          </cell>
          <cell r="B2596" t="str">
            <v>Hany Jawee</v>
          </cell>
          <cell r="E2596" t="str">
            <v>TRE</v>
          </cell>
          <cell r="F2596" t="str">
            <v>D</v>
          </cell>
          <cell r="H2596">
            <v>1000</v>
          </cell>
          <cell r="I2596">
            <v>300000</v>
          </cell>
        </row>
        <row r="2597">
          <cell r="A2597">
            <v>45108</v>
          </cell>
          <cell r="B2597" t="str">
            <v>Ahmad Ozdamir</v>
          </cell>
          <cell r="E2597" t="str">
            <v>TRE</v>
          </cell>
          <cell r="F2597" t="str">
            <v>AM</v>
          </cell>
          <cell r="H2597">
            <v>83.333333333333329</v>
          </cell>
          <cell r="I2597">
            <v>22605.411851719</v>
          </cell>
        </row>
        <row r="2598">
          <cell r="A2598">
            <v>45108</v>
          </cell>
          <cell r="B2598" t="str">
            <v>Amjad Ilwan</v>
          </cell>
          <cell r="E2598" t="str">
            <v>TRE</v>
          </cell>
          <cell r="F2598" t="str">
            <v>AM</v>
          </cell>
          <cell r="H2598">
            <v>83.333333333333329</v>
          </cell>
          <cell r="I2598">
            <v>22605.411851719</v>
          </cell>
        </row>
        <row r="2599">
          <cell r="A2599">
            <v>45108</v>
          </cell>
          <cell r="B2599" t="str">
            <v>Ehab Hajou</v>
          </cell>
          <cell r="E2599" t="str">
            <v>TRE</v>
          </cell>
          <cell r="F2599" t="str">
            <v>AM</v>
          </cell>
          <cell r="H2599">
            <v>83.333333333333329</v>
          </cell>
          <cell r="I2599">
            <v>27090.335833703899</v>
          </cell>
        </row>
        <row r="2600">
          <cell r="A2600">
            <v>45108</v>
          </cell>
          <cell r="B2600" t="str">
            <v>Fadi Saleh</v>
          </cell>
          <cell r="E2600" t="str">
            <v>TRE</v>
          </cell>
          <cell r="F2600" t="str">
            <v>AM</v>
          </cell>
          <cell r="H2600">
            <v>83.333333333333329</v>
          </cell>
          <cell r="I2600">
            <v>22905.411851719</v>
          </cell>
        </row>
        <row r="2601">
          <cell r="A2601">
            <v>45108</v>
          </cell>
          <cell r="B2601" t="str">
            <v>Majid Abdulla</v>
          </cell>
          <cell r="E2601" t="str">
            <v>TRE</v>
          </cell>
          <cell r="F2601" t="str">
            <v>AM</v>
          </cell>
          <cell r="H2601">
            <v>53.3333333333333</v>
          </cell>
          <cell r="I2601">
            <v>7905.411851719</v>
          </cell>
        </row>
        <row r="2602">
          <cell r="A2602">
            <v>45108</v>
          </cell>
          <cell r="B2602" t="str">
            <v>Mehfooz Mir</v>
          </cell>
          <cell r="E2602" t="str">
            <v>TRE</v>
          </cell>
          <cell r="F2602" t="str">
            <v>AM</v>
          </cell>
          <cell r="H2602">
            <v>183.333333333333</v>
          </cell>
          <cell r="I2602">
            <v>56714.016417978302</v>
          </cell>
        </row>
        <row r="2603">
          <cell r="A2603">
            <v>45108</v>
          </cell>
          <cell r="B2603" t="str">
            <v>Mostafa Mekawy</v>
          </cell>
          <cell r="E2603" t="str">
            <v>TRE</v>
          </cell>
          <cell r="F2603" t="str">
            <v>AM</v>
          </cell>
          <cell r="H2603">
            <v>83.333333333333329</v>
          </cell>
          <cell r="I2603">
            <v>22905.411851719</v>
          </cell>
        </row>
        <row r="2604">
          <cell r="A2604">
            <v>45108</v>
          </cell>
          <cell r="B2604" t="str">
            <v>Peter Sedrak</v>
          </cell>
          <cell r="E2604" t="str">
            <v>TRE</v>
          </cell>
          <cell r="F2604" t="str">
            <v>AM</v>
          </cell>
          <cell r="H2604">
            <v>83.333333333333329</v>
          </cell>
          <cell r="I2604">
            <v>22905.411851719</v>
          </cell>
        </row>
        <row r="2605">
          <cell r="A2605">
            <v>45108</v>
          </cell>
          <cell r="B2605" t="str">
            <v>Rijith Menon</v>
          </cell>
          <cell r="E2605" t="str">
            <v>TRE</v>
          </cell>
          <cell r="F2605" t="str">
            <v>AM</v>
          </cell>
          <cell r="H2605">
            <v>90.3333333333333</v>
          </cell>
          <cell r="I2605">
            <v>30967.254156078601</v>
          </cell>
        </row>
        <row r="2606">
          <cell r="A2606">
            <v>45108</v>
          </cell>
          <cell r="B2606" t="str">
            <v>Suleiman Wanni</v>
          </cell>
          <cell r="E2606" t="str">
            <v>TRE</v>
          </cell>
          <cell r="F2606" t="str">
            <v>AM</v>
          </cell>
          <cell r="H2606">
            <v>83.333333333333329</v>
          </cell>
          <cell r="I2606">
            <v>26905.411851719</v>
          </cell>
        </row>
        <row r="2607">
          <cell r="A2607">
            <v>45108</v>
          </cell>
          <cell r="B2607" t="str">
            <v>Waseem Suhaf</v>
          </cell>
          <cell r="E2607" t="str">
            <v>TRE</v>
          </cell>
          <cell r="F2607" t="str">
            <v>AM</v>
          </cell>
          <cell r="H2607">
            <v>89.3333333333333</v>
          </cell>
          <cell r="I2607">
            <v>36490.510630206198</v>
          </cell>
        </row>
        <row r="2608">
          <cell r="A2608">
            <v>45139</v>
          </cell>
          <cell r="B2608" t="str">
            <v>Khalid Karmastaji</v>
          </cell>
          <cell r="E2608" t="str">
            <v>AUH</v>
          </cell>
          <cell r="F2608" t="str">
            <v>D</v>
          </cell>
          <cell r="H2608">
            <v>0</v>
          </cell>
          <cell r="I2608">
            <v>132700</v>
          </cell>
        </row>
        <row r="2609">
          <cell r="A2609">
            <v>45139</v>
          </cell>
          <cell r="B2609" t="str">
            <v>Abdulla Alhashmi</v>
          </cell>
          <cell r="E2609" t="str">
            <v>AUH</v>
          </cell>
          <cell r="F2609" t="str">
            <v>AM</v>
          </cell>
          <cell r="H2609">
            <v>0</v>
          </cell>
          <cell r="I2609">
            <v>14700</v>
          </cell>
        </row>
        <row r="2610">
          <cell r="A2610">
            <v>45139</v>
          </cell>
          <cell r="B2610" t="str">
            <v>Ammar Alqudsi</v>
          </cell>
          <cell r="E2610" t="str">
            <v>AUH</v>
          </cell>
          <cell r="F2610" t="str">
            <v>AM</v>
          </cell>
          <cell r="H2610">
            <v>0</v>
          </cell>
          <cell r="I2610">
            <v>14500</v>
          </cell>
        </row>
        <row r="2611">
          <cell r="A2611">
            <v>45139</v>
          </cell>
          <cell r="B2611" t="str">
            <v>Humaid Almaazmi</v>
          </cell>
          <cell r="E2611" t="str">
            <v>AUH</v>
          </cell>
          <cell r="F2611" t="str">
            <v>AM</v>
          </cell>
          <cell r="H2611">
            <v>0</v>
          </cell>
          <cell r="I2611">
            <v>15000</v>
          </cell>
        </row>
        <row r="2612">
          <cell r="A2612">
            <v>45139</v>
          </cell>
          <cell r="B2612" t="str">
            <v>Khamis Almakrani</v>
          </cell>
          <cell r="E2612" t="str">
            <v>AUH</v>
          </cell>
          <cell r="F2612" t="str">
            <v>AM</v>
          </cell>
          <cell r="H2612">
            <v>0</v>
          </cell>
          <cell r="I2612">
            <v>14000</v>
          </cell>
        </row>
        <row r="2613">
          <cell r="A2613">
            <v>45139</v>
          </cell>
          <cell r="B2613" t="str">
            <v>Muhammad Ismail</v>
          </cell>
          <cell r="E2613" t="str">
            <v>AUH</v>
          </cell>
          <cell r="F2613" t="str">
            <v>AM</v>
          </cell>
          <cell r="H2613">
            <v>0</v>
          </cell>
          <cell r="I2613">
            <v>15000</v>
          </cell>
        </row>
        <row r="2614">
          <cell r="A2614">
            <v>45139</v>
          </cell>
          <cell r="B2614" t="str">
            <v>Muhammad Nauman Khan</v>
          </cell>
          <cell r="E2614" t="str">
            <v>AUH</v>
          </cell>
          <cell r="F2614" t="str">
            <v>AM</v>
          </cell>
          <cell r="H2614">
            <v>0</v>
          </cell>
          <cell r="I2614">
            <v>13500</v>
          </cell>
        </row>
        <row r="2615">
          <cell r="A2615">
            <v>45139</v>
          </cell>
          <cell r="B2615" t="str">
            <v>Omar AlHammadi</v>
          </cell>
          <cell r="E2615" t="str">
            <v>AUH</v>
          </cell>
          <cell r="F2615" t="str">
            <v>AM</v>
          </cell>
          <cell r="H2615">
            <v>0</v>
          </cell>
          <cell r="I2615">
            <v>15000</v>
          </cell>
        </row>
        <row r="2616">
          <cell r="A2616">
            <v>45139</v>
          </cell>
          <cell r="B2616" t="str">
            <v>Tarek Solh</v>
          </cell>
          <cell r="E2616" t="str">
            <v>AUH</v>
          </cell>
          <cell r="F2616" t="str">
            <v>AM</v>
          </cell>
          <cell r="H2616">
            <v>0</v>
          </cell>
          <cell r="I2616">
            <v>16000</v>
          </cell>
        </row>
        <row r="2617">
          <cell r="A2617">
            <v>45139</v>
          </cell>
          <cell r="B2617" t="str">
            <v>Yousef Alhosani</v>
          </cell>
          <cell r="E2617" t="str">
            <v>AUH</v>
          </cell>
          <cell r="F2617" t="str">
            <v>AM</v>
          </cell>
          <cell r="H2617">
            <v>0</v>
          </cell>
          <cell r="I2617">
            <v>15000</v>
          </cell>
        </row>
        <row r="2618">
          <cell r="A2618">
            <v>45139</v>
          </cell>
          <cell r="B2618" t="str">
            <v>Khaled Alawadi</v>
          </cell>
          <cell r="E2618" t="str">
            <v>F-NE</v>
          </cell>
          <cell r="F2618" t="str">
            <v>D</v>
          </cell>
          <cell r="H2618">
            <v>0</v>
          </cell>
          <cell r="I2618">
            <v>70800</v>
          </cell>
        </row>
        <row r="2619">
          <cell r="A2619">
            <v>45139</v>
          </cell>
          <cell r="B2619" t="str">
            <v>Ahmed AlShehhi</v>
          </cell>
          <cell r="E2619" t="str">
            <v>F-NE</v>
          </cell>
          <cell r="F2619" t="str">
            <v>AM</v>
          </cell>
          <cell r="H2619">
            <v>0</v>
          </cell>
          <cell r="I2619">
            <v>2500</v>
          </cell>
        </row>
        <row r="2620">
          <cell r="A2620">
            <v>45139</v>
          </cell>
          <cell r="B2620" t="str">
            <v>Bader Al Shehhi</v>
          </cell>
          <cell r="E2620" t="str">
            <v>F-NE</v>
          </cell>
          <cell r="F2620" t="str">
            <v>AM</v>
          </cell>
          <cell r="H2620">
            <v>0</v>
          </cell>
          <cell r="I2620">
            <v>5000</v>
          </cell>
        </row>
        <row r="2621">
          <cell r="A2621">
            <v>45139</v>
          </cell>
          <cell r="B2621" t="str">
            <v>Bashar Al Adilee</v>
          </cell>
          <cell r="E2621" t="str">
            <v>F-NE</v>
          </cell>
          <cell r="F2621" t="str">
            <v>AM</v>
          </cell>
          <cell r="H2621">
            <v>0</v>
          </cell>
          <cell r="I2621">
            <v>42800</v>
          </cell>
        </row>
        <row r="2622">
          <cell r="A2622">
            <v>45139</v>
          </cell>
          <cell r="B2622" t="str">
            <v>Khalid Mohammed</v>
          </cell>
          <cell r="E2622" t="str">
            <v>F-NE</v>
          </cell>
          <cell r="F2622" t="str">
            <v>AM</v>
          </cell>
          <cell r="H2622">
            <v>0</v>
          </cell>
          <cell r="I2622">
            <v>2500</v>
          </cell>
        </row>
        <row r="2623">
          <cell r="A2623">
            <v>45139</v>
          </cell>
          <cell r="B2623" t="str">
            <v>Majd Nairoukh</v>
          </cell>
          <cell r="E2623" t="str">
            <v>F-NE</v>
          </cell>
          <cell r="F2623" t="str">
            <v>AM</v>
          </cell>
          <cell r="H2623">
            <v>0</v>
          </cell>
          <cell r="I2623">
            <v>10500</v>
          </cell>
        </row>
        <row r="2624">
          <cell r="A2624">
            <v>45139</v>
          </cell>
          <cell r="B2624" t="str">
            <v>Nader AlMustafa</v>
          </cell>
          <cell r="E2624" t="str">
            <v>F-NE</v>
          </cell>
          <cell r="F2624" t="str">
            <v>AM</v>
          </cell>
          <cell r="H2624">
            <v>0</v>
          </cell>
          <cell r="I2624">
            <v>5000</v>
          </cell>
        </row>
        <row r="2625">
          <cell r="A2625">
            <v>45139</v>
          </cell>
          <cell r="B2625" t="str">
            <v>Yousef Al Baloushi</v>
          </cell>
          <cell r="E2625" t="str">
            <v>F-NE</v>
          </cell>
          <cell r="F2625" t="str">
            <v>AM</v>
          </cell>
          <cell r="H2625">
            <v>0</v>
          </cell>
          <cell r="I2625">
            <v>2500</v>
          </cell>
        </row>
        <row r="2626">
          <cell r="A2626">
            <v>45139</v>
          </cell>
          <cell r="B2626" t="str">
            <v>Mohamad Amer Sibai</v>
          </cell>
          <cell r="E2626" t="str">
            <v>DXB</v>
          </cell>
          <cell r="F2626" t="str">
            <v>D</v>
          </cell>
          <cell r="H2626">
            <v>0</v>
          </cell>
          <cell r="I2626">
            <v>70800.497590160187</v>
          </cell>
        </row>
        <row r="2627">
          <cell r="A2627">
            <v>45139</v>
          </cell>
          <cell r="B2627" t="str">
            <v>Ali Alzarooni</v>
          </cell>
          <cell r="E2627" t="str">
            <v>DXB</v>
          </cell>
          <cell r="F2627" t="str">
            <v>AM</v>
          </cell>
          <cell r="H2627">
            <v>0</v>
          </cell>
          <cell r="I2627">
            <v>10337.748795080091</v>
          </cell>
        </row>
        <row r="2628">
          <cell r="A2628">
            <v>45139</v>
          </cell>
          <cell r="B2628" t="str">
            <v>Humaid Al Ali</v>
          </cell>
          <cell r="E2628" t="str">
            <v>DXB</v>
          </cell>
          <cell r="F2628" t="str">
            <v>AM</v>
          </cell>
          <cell r="H2628">
            <v>0</v>
          </cell>
          <cell r="I2628">
            <v>8000</v>
          </cell>
        </row>
        <row r="2629">
          <cell r="A2629">
            <v>45139</v>
          </cell>
          <cell r="B2629" t="str">
            <v>Mohamed Mady</v>
          </cell>
          <cell r="E2629" t="str">
            <v>DXB</v>
          </cell>
          <cell r="F2629" t="str">
            <v>AM</v>
          </cell>
          <cell r="H2629">
            <v>0</v>
          </cell>
          <cell r="I2629">
            <v>6000</v>
          </cell>
        </row>
        <row r="2630">
          <cell r="A2630">
            <v>45139</v>
          </cell>
          <cell r="B2630" t="str">
            <v>Ramzi Gholmieh</v>
          </cell>
          <cell r="E2630" t="str">
            <v>DXB</v>
          </cell>
          <cell r="F2630" t="str">
            <v>AM</v>
          </cell>
          <cell r="H2630">
            <v>0</v>
          </cell>
          <cell r="I2630">
            <v>19125</v>
          </cell>
        </row>
        <row r="2631">
          <cell r="A2631">
            <v>45139</v>
          </cell>
          <cell r="B2631" t="str">
            <v>Talal Ahmed Ali Alsharhan</v>
          </cell>
          <cell r="E2631" t="str">
            <v>DXB</v>
          </cell>
          <cell r="F2631" t="str">
            <v>AM</v>
          </cell>
          <cell r="H2631">
            <v>0</v>
          </cell>
          <cell r="I2631">
            <v>10337.748795080091</v>
          </cell>
        </row>
        <row r="2632">
          <cell r="A2632">
            <v>45139</v>
          </cell>
          <cell r="B2632" t="str">
            <v>Tariq AlAwadhi</v>
          </cell>
          <cell r="E2632" t="str">
            <v>DXB</v>
          </cell>
          <cell r="F2632" t="str">
            <v>AM</v>
          </cell>
          <cell r="H2632">
            <v>0</v>
          </cell>
          <cell r="I2632">
            <v>17000</v>
          </cell>
        </row>
        <row r="2633">
          <cell r="A2633">
            <v>45139</v>
          </cell>
          <cell r="B2633" t="str">
            <v>Muhammad Shahzad Hasan</v>
          </cell>
          <cell r="E2633" t="str">
            <v>TRM</v>
          </cell>
          <cell r="F2633" t="str">
            <v>D</v>
          </cell>
          <cell r="H2633">
            <v>520</v>
          </cell>
          <cell r="I2633">
            <v>265500</v>
          </cell>
        </row>
        <row r="2634">
          <cell r="A2634">
            <v>45139</v>
          </cell>
          <cell r="B2634" t="str">
            <v>Abdulghaffar Alkhaja</v>
          </cell>
          <cell r="E2634" t="str">
            <v>TRM</v>
          </cell>
          <cell r="F2634" t="str">
            <v>AM</v>
          </cell>
          <cell r="H2634">
            <v>67</v>
          </cell>
          <cell r="I2634">
            <v>30785</v>
          </cell>
        </row>
        <row r="2635">
          <cell r="A2635">
            <v>45139</v>
          </cell>
          <cell r="B2635" t="str">
            <v>Eslam Hassan</v>
          </cell>
          <cell r="E2635" t="str">
            <v>TRM</v>
          </cell>
          <cell r="F2635" t="str">
            <v>AM</v>
          </cell>
          <cell r="H2635">
            <v>68</v>
          </cell>
          <cell r="I2635">
            <v>30786</v>
          </cell>
        </row>
        <row r="2636">
          <cell r="A2636">
            <v>45139</v>
          </cell>
          <cell r="B2636" t="str">
            <v>Khaled Abdelaziz</v>
          </cell>
          <cell r="E2636" t="str">
            <v>TRM</v>
          </cell>
          <cell r="F2636" t="str">
            <v>AM</v>
          </cell>
          <cell r="H2636">
            <v>67</v>
          </cell>
          <cell r="I2636">
            <v>30786</v>
          </cell>
        </row>
        <row r="2637">
          <cell r="A2637">
            <v>45139</v>
          </cell>
          <cell r="B2637" t="str">
            <v>Mohamad Labban</v>
          </cell>
          <cell r="E2637" t="str">
            <v>TRM</v>
          </cell>
          <cell r="F2637" t="str">
            <v>AM</v>
          </cell>
          <cell r="H2637">
            <v>67</v>
          </cell>
          <cell r="I2637">
            <v>30786</v>
          </cell>
        </row>
        <row r="2638">
          <cell r="A2638">
            <v>45139</v>
          </cell>
          <cell r="B2638" t="str">
            <v>Mohamed Kishk</v>
          </cell>
          <cell r="E2638" t="str">
            <v>TRM</v>
          </cell>
          <cell r="F2638" t="str">
            <v>AM</v>
          </cell>
          <cell r="H2638">
            <v>67</v>
          </cell>
          <cell r="I2638">
            <v>30785</v>
          </cell>
        </row>
        <row r="2639">
          <cell r="A2639">
            <v>45139</v>
          </cell>
          <cell r="B2639" t="str">
            <v>Mushahid Hussain Syed</v>
          </cell>
          <cell r="E2639" t="str">
            <v>TRM</v>
          </cell>
          <cell r="F2639" t="str">
            <v>AM</v>
          </cell>
          <cell r="H2639">
            <v>67</v>
          </cell>
          <cell r="I2639">
            <v>30786</v>
          </cell>
        </row>
        <row r="2640">
          <cell r="A2640">
            <v>45139</v>
          </cell>
          <cell r="B2640" t="str">
            <v>Osama ElWawi</v>
          </cell>
          <cell r="E2640" t="str">
            <v>TRM</v>
          </cell>
          <cell r="F2640" t="str">
            <v>AM</v>
          </cell>
          <cell r="H2640">
            <v>67</v>
          </cell>
          <cell r="I2640">
            <v>30786</v>
          </cell>
        </row>
        <row r="2641">
          <cell r="A2641">
            <v>45139</v>
          </cell>
          <cell r="B2641" t="str">
            <v>Simon Williams</v>
          </cell>
          <cell r="E2641" t="str">
            <v>TRM</v>
          </cell>
          <cell r="F2641" t="str">
            <v>AM</v>
          </cell>
          <cell r="H2641">
            <v>50</v>
          </cell>
          <cell r="I2641">
            <v>50000</v>
          </cell>
        </row>
        <row r="2642">
          <cell r="A2642">
            <v>45139</v>
          </cell>
          <cell r="B2642" t="str">
            <v>Mazen Adem</v>
          </cell>
          <cell r="E2642" t="str">
            <v>FOGH</v>
          </cell>
          <cell r="F2642" t="str">
            <v>D</v>
          </cell>
          <cell r="H2642">
            <v>1440</v>
          </cell>
          <cell r="I2642">
            <v>177000</v>
          </cell>
        </row>
        <row r="2643">
          <cell r="A2643">
            <v>45139</v>
          </cell>
          <cell r="B2643" t="str">
            <v>Abdel Azim Sharabati</v>
          </cell>
          <cell r="E2643" t="str">
            <v>FOGH</v>
          </cell>
          <cell r="F2643" t="str">
            <v>AM</v>
          </cell>
          <cell r="H2643">
            <v>140</v>
          </cell>
          <cell r="I2643">
            <v>19500</v>
          </cell>
        </row>
        <row r="2644">
          <cell r="A2644">
            <v>45139</v>
          </cell>
          <cell r="B2644" t="str">
            <v>Abraham Cherian</v>
          </cell>
          <cell r="E2644" t="str">
            <v>FOGH</v>
          </cell>
          <cell r="F2644" t="str">
            <v>AM</v>
          </cell>
          <cell r="H2644">
            <v>165</v>
          </cell>
          <cell r="I2644">
            <v>20000</v>
          </cell>
        </row>
        <row r="2645">
          <cell r="A2645">
            <v>45139</v>
          </cell>
          <cell r="B2645" t="str">
            <v>Arjun Subaraman</v>
          </cell>
          <cell r="E2645" t="str">
            <v>FOGH</v>
          </cell>
          <cell r="F2645" t="str">
            <v>AM</v>
          </cell>
          <cell r="H2645">
            <v>200</v>
          </cell>
          <cell r="I2645">
            <v>14000</v>
          </cell>
        </row>
        <row r="2646">
          <cell r="A2646">
            <v>45139</v>
          </cell>
          <cell r="B2646" t="str">
            <v>Ghassan Fouany</v>
          </cell>
          <cell r="E2646" t="str">
            <v>FOGH</v>
          </cell>
          <cell r="F2646" t="str">
            <v>AM</v>
          </cell>
          <cell r="H2646">
            <v>220</v>
          </cell>
          <cell r="I2646">
            <v>17000</v>
          </cell>
        </row>
        <row r="2647">
          <cell r="A2647">
            <v>45139</v>
          </cell>
          <cell r="B2647" t="str">
            <v>Inayat Fazili</v>
          </cell>
          <cell r="E2647" t="str">
            <v>FOGH</v>
          </cell>
          <cell r="F2647" t="str">
            <v>AM</v>
          </cell>
          <cell r="H2647">
            <v>165</v>
          </cell>
          <cell r="I2647">
            <v>19500</v>
          </cell>
        </row>
        <row r="2648">
          <cell r="A2648">
            <v>45139</v>
          </cell>
          <cell r="B2648" t="str">
            <v>Jalal Ismail</v>
          </cell>
          <cell r="E2648" t="str">
            <v>FOGH</v>
          </cell>
          <cell r="F2648" t="str">
            <v>AM</v>
          </cell>
          <cell r="H2648">
            <v>80</v>
          </cell>
          <cell r="I2648">
            <v>14000</v>
          </cell>
        </row>
        <row r="2649">
          <cell r="A2649">
            <v>45139</v>
          </cell>
          <cell r="B2649" t="str">
            <v>Mohamed Mostafa</v>
          </cell>
          <cell r="E2649" t="str">
            <v>FOGH</v>
          </cell>
          <cell r="F2649" t="str">
            <v>AM</v>
          </cell>
          <cell r="H2649">
            <v>70</v>
          </cell>
          <cell r="I2649">
            <v>11000</v>
          </cell>
        </row>
        <row r="2650">
          <cell r="A2650">
            <v>45139</v>
          </cell>
          <cell r="B2650" t="str">
            <v>Mohd Sheikh Salem</v>
          </cell>
          <cell r="E2650" t="str">
            <v>FOGH</v>
          </cell>
          <cell r="F2650" t="str">
            <v>AM</v>
          </cell>
          <cell r="H2650">
            <v>130</v>
          </cell>
          <cell r="I2650">
            <v>25500</v>
          </cell>
        </row>
        <row r="2651">
          <cell r="A2651">
            <v>45139</v>
          </cell>
          <cell r="B2651" t="str">
            <v>Nadeem Rasheed</v>
          </cell>
          <cell r="E2651" t="str">
            <v>FOGH</v>
          </cell>
          <cell r="F2651" t="str">
            <v>AM</v>
          </cell>
          <cell r="H2651">
            <v>150</v>
          </cell>
          <cell r="I2651">
            <v>23500</v>
          </cell>
        </row>
        <row r="2652">
          <cell r="A2652">
            <v>45139</v>
          </cell>
          <cell r="B2652" t="str">
            <v>Ramy Abdel Fattah</v>
          </cell>
          <cell r="E2652" t="str">
            <v>FOGH</v>
          </cell>
          <cell r="F2652" t="str">
            <v>AM</v>
          </cell>
          <cell r="H2652">
            <v>120</v>
          </cell>
          <cell r="I2652">
            <v>13000</v>
          </cell>
        </row>
        <row r="2653">
          <cell r="A2653">
            <v>45139</v>
          </cell>
          <cell r="B2653" t="str">
            <v>Hany Jawee</v>
          </cell>
          <cell r="E2653" t="str">
            <v>TRE</v>
          </cell>
          <cell r="F2653" t="str">
            <v>D</v>
          </cell>
          <cell r="H2653">
            <v>1030</v>
          </cell>
          <cell r="I2653">
            <v>265500</v>
          </cell>
        </row>
        <row r="2654">
          <cell r="A2654">
            <v>45139</v>
          </cell>
          <cell r="B2654" t="str">
            <v>Ahmad Ozdamir</v>
          </cell>
          <cell r="E2654" t="str">
            <v>TRE</v>
          </cell>
          <cell r="F2654" t="str">
            <v>AM</v>
          </cell>
          <cell r="H2654">
            <v>89</v>
          </cell>
          <cell r="I2654">
            <v>20136</v>
          </cell>
        </row>
        <row r="2655">
          <cell r="A2655">
            <v>45139</v>
          </cell>
          <cell r="B2655" t="str">
            <v>Amjad Ilwan</v>
          </cell>
          <cell r="E2655" t="str">
            <v>TRE</v>
          </cell>
          <cell r="F2655" t="str">
            <v>AM</v>
          </cell>
          <cell r="H2655">
            <v>90</v>
          </cell>
          <cell r="I2655">
            <v>20136</v>
          </cell>
        </row>
        <row r="2656">
          <cell r="A2656">
            <v>45139</v>
          </cell>
          <cell r="B2656" t="str">
            <v>Ehab Hajou</v>
          </cell>
          <cell r="E2656" t="str">
            <v>TRE</v>
          </cell>
          <cell r="F2656" t="str">
            <v>AM</v>
          </cell>
          <cell r="H2656">
            <v>86</v>
          </cell>
          <cell r="I2656">
            <v>23636</v>
          </cell>
        </row>
        <row r="2657">
          <cell r="A2657">
            <v>45139</v>
          </cell>
          <cell r="B2657" t="str">
            <v>Fadi Saleh</v>
          </cell>
          <cell r="E2657" t="str">
            <v>TRE</v>
          </cell>
          <cell r="F2657" t="str">
            <v>AM</v>
          </cell>
          <cell r="H2657">
            <v>86</v>
          </cell>
          <cell r="I2657">
            <v>18136</v>
          </cell>
        </row>
        <row r="2658">
          <cell r="A2658">
            <v>45139</v>
          </cell>
          <cell r="B2658" t="str">
            <v>Majid Abdulla</v>
          </cell>
          <cell r="E2658" t="str">
            <v>TRE</v>
          </cell>
          <cell r="F2658" t="str">
            <v>AM</v>
          </cell>
          <cell r="H2658">
            <v>75</v>
          </cell>
          <cell r="I2658">
            <v>11636</v>
          </cell>
        </row>
        <row r="2659">
          <cell r="A2659">
            <v>45139</v>
          </cell>
          <cell r="B2659" t="str">
            <v>Mehfooz Mir</v>
          </cell>
          <cell r="E2659" t="str">
            <v>TRE</v>
          </cell>
          <cell r="F2659" t="str">
            <v>AM</v>
          </cell>
          <cell r="H2659">
            <v>180</v>
          </cell>
          <cell r="I2659">
            <v>51140</v>
          </cell>
        </row>
        <row r="2660">
          <cell r="A2660">
            <v>45139</v>
          </cell>
          <cell r="B2660" t="str">
            <v>Mostafa Mekawy</v>
          </cell>
          <cell r="E2660" t="str">
            <v>TRE</v>
          </cell>
          <cell r="F2660" t="str">
            <v>AM</v>
          </cell>
          <cell r="H2660">
            <v>90</v>
          </cell>
          <cell r="I2660">
            <v>23636</v>
          </cell>
        </row>
        <row r="2661">
          <cell r="A2661">
            <v>45139</v>
          </cell>
          <cell r="B2661" t="str">
            <v>Peter Sedrak</v>
          </cell>
          <cell r="E2661" t="str">
            <v>TRE</v>
          </cell>
          <cell r="F2661" t="str">
            <v>AM</v>
          </cell>
          <cell r="H2661">
            <v>80</v>
          </cell>
          <cell r="I2661">
            <v>20136</v>
          </cell>
        </row>
        <row r="2662">
          <cell r="A2662">
            <v>45139</v>
          </cell>
          <cell r="B2662" t="str">
            <v>Rijith Menon</v>
          </cell>
          <cell r="E2662" t="str">
            <v>TRE</v>
          </cell>
          <cell r="F2662" t="str">
            <v>AM</v>
          </cell>
          <cell r="H2662">
            <v>90</v>
          </cell>
          <cell r="I2662">
            <v>23636</v>
          </cell>
        </row>
        <row r="2663">
          <cell r="A2663">
            <v>45139</v>
          </cell>
          <cell r="B2663" t="str">
            <v>Suleiman Wanni</v>
          </cell>
          <cell r="E2663" t="str">
            <v>TRE</v>
          </cell>
          <cell r="F2663" t="str">
            <v>AM</v>
          </cell>
          <cell r="H2663">
            <v>88</v>
          </cell>
          <cell r="I2663">
            <v>29636</v>
          </cell>
        </row>
        <row r="2664">
          <cell r="A2664">
            <v>45139</v>
          </cell>
          <cell r="B2664" t="str">
            <v>Waseem Suhaf</v>
          </cell>
          <cell r="E2664" t="str">
            <v>TRE</v>
          </cell>
          <cell r="F2664" t="str">
            <v>AM</v>
          </cell>
          <cell r="H2664">
            <v>76</v>
          </cell>
          <cell r="I2664">
            <v>23636</v>
          </cell>
        </row>
        <row r="2665">
          <cell r="A2665">
            <v>45139</v>
          </cell>
          <cell r="B2665" t="str">
            <v>Mohamed AlZarooni</v>
          </cell>
          <cell r="E2665" t="str">
            <v>HUNT</v>
          </cell>
          <cell r="F2665" t="str">
            <v>D</v>
          </cell>
          <cell r="H2665">
            <v>1030</v>
          </cell>
          <cell r="I2665">
            <v>17700</v>
          </cell>
        </row>
        <row r="2666">
          <cell r="A2666">
            <v>45139</v>
          </cell>
          <cell r="B2666" t="str">
            <v>Adnan Bashir</v>
          </cell>
          <cell r="E2666" t="str">
            <v>HUNT</v>
          </cell>
          <cell r="F2666" t="str">
            <v>AM</v>
          </cell>
          <cell r="H2666">
            <v>206</v>
          </cell>
          <cell r="I2666">
            <v>3540</v>
          </cell>
        </row>
        <row r="2667">
          <cell r="A2667">
            <v>45139</v>
          </cell>
          <cell r="B2667" t="str">
            <v>Ammar Aladily</v>
          </cell>
          <cell r="E2667" t="str">
            <v>HUNT</v>
          </cell>
          <cell r="F2667" t="str">
            <v>AM</v>
          </cell>
          <cell r="H2667">
            <v>206</v>
          </cell>
          <cell r="I2667">
            <v>3540</v>
          </cell>
        </row>
        <row r="2668">
          <cell r="A2668">
            <v>45139</v>
          </cell>
          <cell r="B2668" t="str">
            <v>Favas Kurinhilayil</v>
          </cell>
          <cell r="E2668" t="str">
            <v>HUNT</v>
          </cell>
          <cell r="F2668" t="str">
            <v>AM</v>
          </cell>
          <cell r="H2668">
            <v>206</v>
          </cell>
          <cell r="I2668">
            <v>3540</v>
          </cell>
        </row>
        <row r="2669">
          <cell r="A2669">
            <v>45139</v>
          </cell>
          <cell r="B2669" t="str">
            <v>Othman Hassan</v>
          </cell>
          <cell r="E2669" t="str">
            <v>HUNT</v>
          </cell>
          <cell r="F2669" t="str">
            <v>AM</v>
          </cell>
          <cell r="H2669">
            <v>206</v>
          </cell>
          <cell r="I2669">
            <v>3540</v>
          </cell>
        </row>
        <row r="2670">
          <cell r="A2670">
            <v>45139</v>
          </cell>
          <cell r="B2670" t="str">
            <v>Shiraz Niazi</v>
          </cell>
          <cell r="E2670" t="str">
            <v>HUNT</v>
          </cell>
          <cell r="F2670" t="str">
            <v>AM</v>
          </cell>
          <cell r="H2670">
            <v>206</v>
          </cell>
          <cell r="I2670">
            <v>3540</v>
          </cell>
        </row>
        <row r="2671">
          <cell r="A2671">
            <v>45170</v>
          </cell>
          <cell r="B2671" t="str">
            <v>Khalid Karmastaji</v>
          </cell>
          <cell r="E2671" t="str">
            <v>AUH</v>
          </cell>
          <cell r="F2671" t="str">
            <v>D</v>
          </cell>
          <cell r="H2671">
            <v>0</v>
          </cell>
          <cell r="I2671">
            <v>120000</v>
          </cell>
        </row>
        <row r="2672">
          <cell r="A2672">
            <v>45170</v>
          </cell>
          <cell r="B2672" t="str">
            <v>Abdulla Alhashmi</v>
          </cell>
          <cell r="E2672" t="str">
            <v>AUH</v>
          </cell>
          <cell r="F2672" t="str">
            <v>AM</v>
          </cell>
          <cell r="H2672">
            <v>0</v>
          </cell>
          <cell r="I2672">
            <v>14000</v>
          </cell>
        </row>
        <row r="2673">
          <cell r="A2673">
            <v>45170</v>
          </cell>
          <cell r="B2673" t="str">
            <v>Ammar Alqudsi</v>
          </cell>
          <cell r="E2673" t="str">
            <v>AUH</v>
          </cell>
          <cell r="F2673" t="str">
            <v>AM</v>
          </cell>
          <cell r="H2673">
            <v>0</v>
          </cell>
          <cell r="I2673">
            <v>9000</v>
          </cell>
        </row>
        <row r="2674">
          <cell r="A2674">
            <v>45170</v>
          </cell>
          <cell r="B2674" t="str">
            <v>Humaid Almaazmi</v>
          </cell>
          <cell r="E2674" t="str">
            <v>AUH</v>
          </cell>
          <cell r="F2674" t="str">
            <v>AM</v>
          </cell>
          <cell r="H2674">
            <v>0</v>
          </cell>
          <cell r="I2674">
            <v>15000</v>
          </cell>
        </row>
        <row r="2675">
          <cell r="A2675">
            <v>45170</v>
          </cell>
          <cell r="B2675" t="str">
            <v>Khamis Almakrani</v>
          </cell>
          <cell r="E2675" t="str">
            <v>AUH</v>
          </cell>
          <cell r="F2675" t="str">
            <v>AM</v>
          </cell>
          <cell r="H2675">
            <v>0</v>
          </cell>
          <cell r="I2675">
            <v>14000</v>
          </cell>
        </row>
        <row r="2676">
          <cell r="A2676">
            <v>45170</v>
          </cell>
          <cell r="B2676" t="str">
            <v>Muhammad Nauman Khan</v>
          </cell>
          <cell r="E2676" t="str">
            <v>AUH</v>
          </cell>
          <cell r="F2676" t="str">
            <v>AM</v>
          </cell>
          <cell r="H2676">
            <v>0</v>
          </cell>
          <cell r="I2676">
            <v>14000</v>
          </cell>
        </row>
        <row r="2677">
          <cell r="A2677">
            <v>45170</v>
          </cell>
          <cell r="B2677" t="str">
            <v>Omar AlHammadi</v>
          </cell>
          <cell r="E2677" t="str">
            <v>AUH</v>
          </cell>
          <cell r="F2677" t="str">
            <v>AM</v>
          </cell>
          <cell r="H2677">
            <v>0</v>
          </cell>
          <cell r="I2677">
            <v>15000</v>
          </cell>
        </row>
        <row r="2678">
          <cell r="A2678">
            <v>45170</v>
          </cell>
          <cell r="B2678" t="str">
            <v>Tarek Solh</v>
          </cell>
          <cell r="E2678" t="str">
            <v>AUH</v>
          </cell>
          <cell r="F2678" t="str">
            <v>AM</v>
          </cell>
          <cell r="H2678">
            <v>0</v>
          </cell>
          <cell r="I2678">
            <v>25000</v>
          </cell>
        </row>
        <row r="2679">
          <cell r="A2679">
            <v>45170</v>
          </cell>
          <cell r="B2679" t="str">
            <v>Yousef Alhosani</v>
          </cell>
          <cell r="E2679" t="str">
            <v>AUH</v>
          </cell>
          <cell r="F2679" t="str">
            <v>AM</v>
          </cell>
          <cell r="H2679">
            <v>0</v>
          </cell>
          <cell r="I2679">
            <v>14000</v>
          </cell>
        </row>
        <row r="2680">
          <cell r="A2680">
            <v>45170</v>
          </cell>
          <cell r="B2680" t="str">
            <v>Khaled Alawadi</v>
          </cell>
          <cell r="E2680" t="str">
            <v>F-NE</v>
          </cell>
          <cell r="F2680" t="str">
            <v>D</v>
          </cell>
          <cell r="H2680">
            <v>0</v>
          </cell>
          <cell r="I2680">
            <v>65000</v>
          </cell>
        </row>
        <row r="2681">
          <cell r="A2681">
            <v>45170</v>
          </cell>
          <cell r="B2681" t="str">
            <v>Ahmed AlShehhi</v>
          </cell>
          <cell r="E2681" t="str">
            <v>F-NE</v>
          </cell>
          <cell r="F2681" t="str">
            <v>AM</v>
          </cell>
          <cell r="H2681">
            <v>0</v>
          </cell>
          <cell r="I2681">
            <v>5000</v>
          </cell>
        </row>
        <row r="2682">
          <cell r="A2682">
            <v>45170</v>
          </cell>
          <cell r="B2682" t="str">
            <v>Bader Al Shehhi</v>
          </cell>
          <cell r="E2682" t="str">
            <v>F-NE</v>
          </cell>
          <cell r="F2682" t="str">
            <v>AM</v>
          </cell>
          <cell r="H2682">
            <v>0</v>
          </cell>
          <cell r="I2682">
            <v>5000</v>
          </cell>
        </row>
        <row r="2683">
          <cell r="A2683">
            <v>45170</v>
          </cell>
          <cell r="B2683" t="str">
            <v>Bashar Al Adilee</v>
          </cell>
          <cell r="E2683" t="str">
            <v>F-NE</v>
          </cell>
          <cell r="F2683" t="str">
            <v>AM</v>
          </cell>
          <cell r="H2683">
            <v>0</v>
          </cell>
          <cell r="I2683">
            <v>35000</v>
          </cell>
        </row>
        <row r="2684">
          <cell r="A2684">
            <v>45170</v>
          </cell>
          <cell r="B2684" t="str">
            <v>Khalid Mohammed</v>
          </cell>
          <cell r="E2684" t="str">
            <v>F-NE</v>
          </cell>
          <cell r="F2684" t="str">
            <v>AM</v>
          </cell>
          <cell r="H2684">
            <v>0</v>
          </cell>
          <cell r="I2684">
            <v>4000</v>
          </cell>
        </row>
        <row r="2685">
          <cell r="A2685">
            <v>45170</v>
          </cell>
          <cell r="B2685" t="str">
            <v>Majd Nairoukh</v>
          </cell>
          <cell r="E2685" t="str">
            <v>F-NE</v>
          </cell>
          <cell r="F2685" t="str">
            <v>AM</v>
          </cell>
          <cell r="H2685">
            <v>0</v>
          </cell>
          <cell r="I2685">
            <v>7200</v>
          </cell>
        </row>
        <row r="2686">
          <cell r="A2686">
            <v>45170</v>
          </cell>
          <cell r="B2686" t="str">
            <v>Nader AlMustafa</v>
          </cell>
          <cell r="E2686" t="str">
            <v>F-NE</v>
          </cell>
          <cell r="F2686" t="str">
            <v>AM</v>
          </cell>
          <cell r="H2686">
            <v>0</v>
          </cell>
          <cell r="I2686">
            <v>4300</v>
          </cell>
        </row>
        <row r="2687">
          <cell r="A2687">
            <v>45170</v>
          </cell>
          <cell r="B2687" t="str">
            <v>Yousef Al Baloushi</v>
          </cell>
          <cell r="E2687" t="str">
            <v>F-NE</v>
          </cell>
          <cell r="F2687" t="str">
            <v>AM</v>
          </cell>
          <cell r="H2687">
            <v>0</v>
          </cell>
          <cell r="I2687">
            <v>4500</v>
          </cell>
        </row>
        <row r="2688">
          <cell r="A2688">
            <v>45170</v>
          </cell>
          <cell r="B2688" t="str">
            <v>Mohamad Amer Sibai</v>
          </cell>
          <cell r="E2688" t="str">
            <v>DXB</v>
          </cell>
          <cell r="F2688" t="str">
            <v>D</v>
          </cell>
          <cell r="H2688">
            <v>0</v>
          </cell>
          <cell r="I2688">
            <v>65000</v>
          </cell>
        </row>
        <row r="2689">
          <cell r="A2689">
            <v>45170</v>
          </cell>
          <cell r="B2689" t="str">
            <v>Ali Alzarooni</v>
          </cell>
          <cell r="E2689" t="str">
            <v>DXB</v>
          </cell>
          <cell r="F2689" t="str">
            <v>AM</v>
          </cell>
          <cell r="H2689">
            <v>0</v>
          </cell>
          <cell r="I2689">
            <v>14500</v>
          </cell>
        </row>
        <row r="2690">
          <cell r="A2690">
            <v>45170</v>
          </cell>
          <cell r="B2690" t="str">
            <v>Humaid Al Ali</v>
          </cell>
          <cell r="E2690" t="str">
            <v>DXB</v>
          </cell>
          <cell r="F2690" t="str">
            <v>AM</v>
          </cell>
          <cell r="H2690">
            <v>0</v>
          </cell>
          <cell r="I2690">
            <v>5000</v>
          </cell>
        </row>
        <row r="2691">
          <cell r="A2691">
            <v>45170</v>
          </cell>
          <cell r="B2691" t="str">
            <v>Mohamed Mady</v>
          </cell>
          <cell r="E2691" t="str">
            <v>DXB</v>
          </cell>
          <cell r="F2691" t="str">
            <v>AM</v>
          </cell>
          <cell r="H2691">
            <v>0</v>
          </cell>
          <cell r="I2691">
            <v>3500</v>
          </cell>
        </row>
        <row r="2692">
          <cell r="A2692">
            <v>45170</v>
          </cell>
          <cell r="B2692" t="str">
            <v>Ramzi Gholmieh</v>
          </cell>
          <cell r="E2692" t="str">
            <v>DXB</v>
          </cell>
          <cell r="F2692" t="str">
            <v>AM</v>
          </cell>
          <cell r="H2692">
            <v>0</v>
          </cell>
          <cell r="I2692">
            <v>36500</v>
          </cell>
        </row>
        <row r="2693">
          <cell r="A2693">
            <v>45170</v>
          </cell>
          <cell r="B2693" t="str">
            <v>Talal Ahmed Ali Alsharhan</v>
          </cell>
          <cell r="E2693" t="str">
            <v>DXB</v>
          </cell>
          <cell r="F2693" t="str">
            <v>AM</v>
          </cell>
          <cell r="H2693">
            <v>0</v>
          </cell>
          <cell r="I2693">
            <v>2000</v>
          </cell>
        </row>
        <row r="2694">
          <cell r="A2694">
            <v>45170</v>
          </cell>
          <cell r="B2694" t="str">
            <v>Tariq AlAwadhi</v>
          </cell>
          <cell r="E2694" t="str">
            <v>DXB</v>
          </cell>
          <cell r="F2694" t="str">
            <v>AM</v>
          </cell>
          <cell r="H2694">
            <v>0</v>
          </cell>
          <cell r="I2694">
            <v>3500</v>
          </cell>
        </row>
        <row r="2695">
          <cell r="A2695">
            <v>45170</v>
          </cell>
          <cell r="B2695" t="str">
            <v>Muhammad Shahzad Hasan</v>
          </cell>
          <cell r="E2695" t="str">
            <v>TRM</v>
          </cell>
          <cell r="F2695" t="str">
            <v>D</v>
          </cell>
          <cell r="H2695">
            <v>1500</v>
          </cell>
          <cell r="I2695">
            <v>180000</v>
          </cell>
        </row>
        <row r="2696">
          <cell r="A2696">
            <v>45170</v>
          </cell>
          <cell r="B2696" t="str">
            <v>Abdulghaffar Alkhaja</v>
          </cell>
          <cell r="E2696" t="str">
            <v>TRM</v>
          </cell>
          <cell r="F2696" t="str">
            <v>AM</v>
          </cell>
          <cell r="H2696">
            <v>150</v>
          </cell>
          <cell r="I2696">
            <v>20000</v>
          </cell>
        </row>
        <row r="2697">
          <cell r="A2697">
            <v>45170</v>
          </cell>
          <cell r="B2697" t="str">
            <v>Eslam Hassan</v>
          </cell>
          <cell r="E2697" t="str">
            <v>TRM</v>
          </cell>
          <cell r="F2697" t="str">
            <v>AM</v>
          </cell>
          <cell r="H2697">
            <v>150</v>
          </cell>
          <cell r="I2697">
            <v>21000</v>
          </cell>
        </row>
        <row r="2698">
          <cell r="A2698">
            <v>45170</v>
          </cell>
          <cell r="B2698" t="str">
            <v>Khaled Abdelaziz</v>
          </cell>
          <cell r="E2698" t="str">
            <v>TRM</v>
          </cell>
          <cell r="F2698" t="str">
            <v>AM</v>
          </cell>
          <cell r="H2698">
            <v>150</v>
          </cell>
          <cell r="I2698">
            <v>20000</v>
          </cell>
        </row>
        <row r="2699">
          <cell r="A2699">
            <v>45170</v>
          </cell>
          <cell r="B2699" t="str">
            <v>Mohamad Labban</v>
          </cell>
          <cell r="E2699" t="str">
            <v>TRM</v>
          </cell>
          <cell r="F2699" t="str">
            <v>AM</v>
          </cell>
          <cell r="H2699">
            <v>150</v>
          </cell>
          <cell r="I2699">
            <v>22000</v>
          </cell>
        </row>
        <row r="2700">
          <cell r="A2700">
            <v>45170</v>
          </cell>
          <cell r="B2700" t="str">
            <v>Mohamed Kishk</v>
          </cell>
          <cell r="E2700" t="str">
            <v>TRM</v>
          </cell>
          <cell r="F2700" t="str">
            <v>AM</v>
          </cell>
          <cell r="H2700">
            <v>150</v>
          </cell>
          <cell r="I2700">
            <v>20000</v>
          </cell>
        </row>
        <row r="2701">
          <cell r="A2701">
            <v>45170</v>
          </cell>
          <cell r="B2701" t="str">
            <v>Mushahid Hussain Syed</v>
          </cell>
          <cell r="E2701" t="str">
            <v>TRM</v>
          </cell>
          <cell r="F2701" t="str">
            <v>AM</v>
          </cell>
          <cell r="H2701">
            <v>300</v>
          </cell>
          <cell r="I2701">
            <v>20000</v>
          </cell>
        </row>
        <row r="2702">
          <cell r="A2702">
            <v>45170</v>
          </cell>
          <cell r="B2702" t="str">
            <v>Osama ElWawi</v>
          </cell>
          <cell r="E2702" t="str">
            <v>TRM</v>
          </cell>
          <cell r="F2702" t="str">
            <v>AM</v>
          </cell>
          <cell r="H2702">
            <v>300</v>
          </cell>
          <cell r="I2702">
            <v>31000</v>
          </cell>
        </row>
        <row r="2703">
          <cell r="A2703">
            <v>45170</v>
          </cell>
          <cell r="B2703" t="str">
            <v>Simon Williams</v>
          </cell>
          <cell r="E2703" t="str">
            <v>TRM</v>
          </cell>
          <cell r="F2703" t="str">
            <v>AM</v>
          </cell>
          <cell r="H2703">
            <v>150</v>
          </cell>
          <cell r="I2703">
            <v>26000</v>
          </cell>
        </row>
        <row r="2704">
          <cell r="A2704">
            <v>45170</v>
          </cell>
          <cell r="B2704" t="str">
            <v>Mazen Adem</v>
          </cell>
          <cell r="E2704" t="str">
            <v>FOGH</v>
          </cell>
          <cell r="F2704" t="str">
            <v>D</v>
          </cell>
          <cell r="H2704">
            <v>1500</v>
          </cell>
          <cell r="I2704">
            <v>150000</v>
          </cell>
        </row>
        <row r="2705">
          <cell r="A2705">
            <v>45170</v>
          </cell>
          <cell r="B2705" t="str">
            <v>Abdel Azim Sharabati</v>
          </cell>
          <cell r="E2705" t="str">
            <v>FOGH</v>
          </cell>
          <cell r="F2705" t="str">
            <v>AM</v>
          </cell>
          <cell r="H2705">
            <v>157</v>
          </cell>
          <cell r="I2705">
            <v>12000</v>
          </cell>
        </row>
        <row r="2706">
          <cell r="A2706">
            <v>45170</v>
          </cell>
          <cell r="B2706" t="str">
            <v>Abraham Cherian</v>
          </cell>
          <cell r="E2706" t="str">
            <v>FOGH</v>
          </cell>
          <cell r="F2706" t="str">
            <v>AM</v>
          </cell>
          <cell r="H2706">
            <v>163</v>
          </cell>
          <cell r="I2706">
            <v>23000</v>
          </cell>
        </row>
        <row r="2707">
          <cell r="A2707">
            <v>45170</v>
          </cell>
          <cell r="B2707" t="str">
            <v>Arjun Subaraman</v>
          </cell>
          <cell r="E2707" t="str">
            <v>FOGH</v>
          </cell>
          <cell r="F2707" t="str">
            <v>AM</v>
          </cell>
          <cell r="H2707">
            <v>210</v>
          </cell>
          <cell r="I2707">
            <v>12000</v>
          </cell>
        </row>
        <row r="2708">
          <cell r="A2708">
            <v>45170</v>
          </cell>
          <cell r="B2708" t="str">
            <v>Ghassan Fouany</v>
          </cell>
          <cell r="E2708" t="str">
            <v>FOGH</v>
          </cell>
          <cell r="F2708" t="str">
            <v>AM</v>
          </cell>
          <cell r="H2708">
            <v>180</v>
          </cell>
          <cell r="I2708">
            <v>12000</v>
          </cell>
        </row>
        <row r="2709">
          <cell r="A2709">
            <v>45170</v>
          </cell>
          <cell r="B2709" t="str">
            <v>Inayat Fazili</v>
          </cell>
          <cell r="E2709" t="str">
            <v>FOGH</v>
          </cell>
          <cell r="F2709" t="str">
            <v>AM</v>
          </cell>
          <cell r="H2709">
            <v>150</v>
          </cell>
          <cell r="I2709">
            <v>15000</v>
          </cell>
        </row>
        <row r="2710">
          <cell r="A2710">
            <v>45170</v>
          </cell>
          <cell r="B2710" t="str">
            <v>Jalal Ismail</v>
          </cell>
          <cell r="E2710" t="str">
            <v>FOGH</v>
          </cell>
          <cell r="F2710" t="str">
            <v>AM</v>
          </cell>
          <cell r="H2710">
            <v>150</v>
          </cell>
          <cell r="I2710">
            <v>12000</v>
          </cell>
        </row>
        <row r="2711">
          <cell r="A2711">
            <v>45170</v>
          </cell>
          <cell r="B2711" t="str">
            <v>Mohamed Mostafa</v>
          </cell>
          <cell r="E2711" t="str">
            <v>FOGH</v>
          </cell>
          <cell r="F2711" t="str">
            <v>AM</v>
          </cell>
          <cell r="H2711">
            <v>90</v>
          </cell>
          <cell r="I2711">
            <v>13000</v>
          </cell>
        </row>
        <row r="2712">
          <cell r="A2712">
            <v>45170</v>
          </cell>
          <cell r="B2712" t="str">
            <v>Mohd Sheikh Salem</v>
          </cell>
          <cell r="E2712" t="str">
            <v>FOGH</v>
          </cell>
          <cell r="F2712" t="str">
            <v>AM</v>
          </cell>
          <cell r="H2712">
            <v>75</v>
          </cell>
          <cell r="I2712">
            <v>16000</v>
          </cell>
        </row>
        <row r="2713">
          <cell r="A2713">
            <v>45170</v>
          </cell>
          <cell r="B2713" t="str">
            <v>Nadeem Rasheed</v>
          </cell>
          <cell r="E2713" t="str">
            <v>FOGH</v>
          </cell>
          <cell r="F2713" t="str">
            <v>AM</v>
          </cell>
          <cell r="H2713">
            <v>180</v>
          </cell>
          <cell r="I2713">
            <v>20000</v>
          </cell>
        </row>
        <row r="2714">
          <cell r="A2714">
            <v>45170</v>
          </cell>
          <cell r="B2714" t="str">
            <v>Ramy Abdel Fattah</v>
          </cell>
          <cell r="E2714" t="str">
            <v>FOGH</v>
          </cell>
          <cell r="F2714" t="str">
            <v>AM</v>
          </cell>
          <cell r="H2714">
            <v>145</v>
          </cell>
          <cell r="I2714">
            <v>15000</v>
          </cell>
        </row>
        <row r="2715">
          <cell r="A2715">
            <v>45170</v>
          </cell>
          <cell r="B2715" t="str">
            <v>Hany Jawee</v>
          </cell>
          <cell r="E2715" t="str">
            <v>TRE</v>
          </cell>
          <cell r="F2715" t="str">
            <v>D</v>
          </cell>
          <cell r="H2715">
            <v>1200</v>
          </cell>
          <cell r="I2715">
            <v>180000</v>
          </cell>
        </row>
        <row r="2716">
          <cell r="A2716">
            <v>45170</v>
          </cell>
          <cell r="B2716" t="str">
            <v>Ahmad Ozdamir</v>
          </cell>
          <cell r="E2716" t="str">
            <v>TRE</v>
          </cell>
          <cell r="F2716" t="str">
            <v>AM</v>
          </cell>
          <cell r="H2716">
            <v>100</v>
          </cell>
          <cell r="I2716">
            <v>16034.8858282088</v>
          </cell>
        </row>
        <row r="2717">
          <cell r="A2717">
            <v>45170</v>
          </cell>
          <cell r="B2717" t="str">
            <v>Amjad Ilwan</v>
          </cell>
          <cell r="E2717" t="str">
            <v>TRE</v>
          </cell>
          <cell r="F2717" t="str">
            <v>AM</v>
          </cell>
          <cell r="H2717">
            <v>100</v>
          </cell>
          <cell r="I2717">
            <v>16034.8858282088</v>
          </cell>
        </row>
        <row r="2718">
          <cell r="A2718">
            <v>45170</v>
          </cell>
          <cell r="B2718" t="str">
            <v>Ehab Hajou</v>
          </cell>
          <cell r="E2718" t="str">
            <v>TRE</v>
          </cell>
          <cell r="F2718" t="str">
            <v>AM</v>
          </cell>
          <cell r="H2718">
            <v>100</v>
          </cell>
          <cell r="I2718">
            <v>16245.110057772599</v>
          </cell>
        </row>
        <row r="2719">
          <cell r="A2719">
            <v>45170</v>
          </cell>
          <cell r="B2719" t="str">
            <v>Fadi Saleh</v>
          </cell>
          <cell r="E2719" t="str">
            <v>TRE</v>
          </cell>
          <cell r="F2719" t="str">
            <v>AM</v>
          </cell>
          <cell r="H2719">
            <v>100</v>
          </cell>
          <cell r="I2719">
            <v>11434.8858282088</v>
          </cell>
        </row>
        <row r="2720">
          <cell r="A2720">
            <v>45170</v>
          </cell>
          <cell r="B2720" t="str">
            <v>Majid Abdulla</v>
          </cell>
          <cell r="E2720" t="str">
            <v>TRE</v>
          </cell>
          <cell r="F2720" t="str">
            <v>AM</v>
          </cell>
          <cell r="H2720">
            <v>100</v>
          </cell>
          <cell r="I2720">
            <v>9434.8858282088204</v>
          </cell>
        </row>
        <row r="2721">
          <cell r="A2721">
            <v>45170</v>
          </cell>
          <cell r="B2721" t="str">
            <v>Mehfooz Mir</v>
          </cell>
          <cell r="E2721" t="str">
            <v>TRE</v>
          </cell>
          <cell r="F2721" t="str">
            <v>AM</v>
          </cell>
          <cell r="H2721">
            <v>200</v>
          </cell>
          <cell r="I2721">
            <v>16398.8858282088</v>
          </cell>
        </row>
        <row r="2722">
          <cell r="A2722">
            <v>45170</v>
          </cell>
          <cell r="B2722" t="str">
            <v>Mostafa Mekawy</v>
          </cell>
          <cell r="E2722" t="str">
            <v>TRE</v>
          </cell>
          <cell r="F2722" t="str">
            <v>AM</v>
          </cell>
          <cell r="H2722">
            <v>100</v>
          </cell>
          <cell r="I2722">
            <v>16970.4917585771</v>
          </cell>
        </row>
        <row r="2723">
          <cell r="A2723">
            <v>45170</v>
          </cell>
          <cell r="B2723" t="str">
            <v>Peter Sedrak</v>
          </cell>
          <cell r="E2723" t="str">
            <v>TRE</v>
          </cell>
          <cell r="F2723" t="str">
            <v>AM</v>
          </cell>
          <cell r="H2723">
            <v>100</v>
          </cell>
          <cell r="I2723">
            <v>16433.8858282088</v>
          </cell>
        </row>
        <row r="2724">
          <cell r="A2724">
            <v>45170</v>
          </cell>
          <cell r="B2724" t="str">
            <v>Rijith Menon</v>
          </cell>
          <cell r="E2724" t="str">
            <v>TRE</v>
          </cell>
          <cell r="F2724" t="str">
            <v>AM</v>
          </cell>
          <cell r="H2724">
            <v>100</v>
          </cell>
          <cell r="I2724">
            <v>17101.2063121725</v>
          </cell>
        </row>
        <row r="2725">
          <cell r="A2725">
            <v>45170</v>
          </cell>
          <cell r="B2725" t="str">
            <v>Suleiman Wanni</v>
          </cell>
          <cell r="E2725" t="str">
            <v>TRE</v>
          </cell>
          <cell r="F2725" t="str">
            <v>AM</v>
          </cell>
          <cell r="H2725">
            <v>100</v>
          </cell>
          <cell r="I2725">
            <v>30500.8915664903</v>
          </cell>
        </row>
        <row r="2726">
          <cell r="A2726">
            <v>45170</v>
          </cell>
          <cell r="B2726" t="str">
            <v>Waseem Suhaf</v>
          </cell>
          <cell r="E2726" t="str">
            <v>TRE</v>
          </cell>
          <cell r="F2726" t="str">
            <v>AM</v>
          </cell>
          <cell r="H2726">
            <v>100</v>
          </cell>
          <cell r="I2726">
            <v>13410.0995075256</v>
          </cell>
        </row>
        <row r="2727">
          <cell r="A2727">
            <v>45170</v>
          </cell>
          <cell r="B2727" t="str">
            <v>Mohamed AlZarooni</v>
          </cell>
          <cell r="E2727" t="str">
            <v>HUNT</v>
          </cell>
          <cell r="F2727" t="str">
            <v>D</v>
          </cell>
          <cell r="H2727">
            <v>500</v>
          </cell>
          <cell r="I2727">
            <v>40000</v>
          </cell>
        </row>
        <row r="2728">
          <cell r="A2728">
            <v>45170</v>
          </cell>
          <cell r="B2728" t="str">
            <v>Adnan Bashir</v>
          </cell>
          <cell r="E2728" t="str">
            <v>HUNT</v>
          </cell>
          <cell r="F2728" t="str">
            <v>AM</v>
          </cell>
          <cell r="H2728">
            <v>100</v>
          </cell>
          <cell r="I2728">
            <v>6033</v>
          </cell>
        </row>
        <row r="2729">
          <cell r="A2729">
            <v>45170</v>
          </cell>
          <cell r="B2729" t="str">
            <v>Ammar Aladily</v>
          </cell>
          <cell r="E2729" t="str">
            <v>HUNT</v>
          </cell>
          <cell r="F2729" t="str">
            <v>AM</v>
          </cell>
          <cell r="H2729">
            <v>100</v>
          </cell>
          <cell r="I2729">
            <v>12868</v>
          </cell>
        </row>
        <row r="2730">
          <cell r="A2730">
            <v>45170</v>
          </cell>
          <cell r="B2730" t="str">
            <v>Favas Kurinhilayil</v>
          </cell>
          <cell r="E2730" t="str">
            <v>HUNT</v>
          </cell>
          <cell r="F2730" t="str">
            <v>AM</v>
          </cell>
          <cell r="H2730">
            <v>100</v>
          </cell>
          <cell r="I2730">
            <v>7033</v>
          </cell>
        </row>
        <row r="2731">
          <cell r="A2731">
            <v>45170</v>
          </cell>
          <cell r="B2731" t="str">
            <v>Othman Hassan</v>
          </cell>
          <cell r="E2731" t="str">
            <v>HUNT</v>
          </cell>
          <cell r="F2731" t="str">
            <v>AM</v>
          </cell>
          <cell r="H2731">
            <v>100</v>
          </cell>
          <cell r="I2731">
            <v>7033.0192782531012</v>
          </cell>
        </row>
        <row r="2732">
          <cell r="A2732">
            <v>45170</v>
          </cell>
          <cell r="B2732" t="str">
            <v>Shiraz Niazi</v>
          </cell>
          <cell r="E2732" t="str">
            <v>HUNT</v>
          </cell>
          <cell r="F2732" t="str">
            <v>AM</v>
          </cell>
          <cell r="H2732">
            <v>100</v>
          </cell>
          <cell r="I2732">
            <v>7033.0192782531012</v>
          </cell>
        </row>
        <row r="2733">
          <cell r="A2733">
            <v>45200</v>
          </cell>
          <cell r="B2733" t="str">
            <v>Khalid Karmastaji</v>
          </cell>
          <cell r="E2733" t="str">
            <v>AUH</v>
          </cell>
          <cell r="F2733" t="str">
            <v>D</v>
          </cell>
          <cell r="I2733">
            <v>105000</v>
          </cell>
        </row>
        <row r="2734">
          <cell r="A2734">
            <v>45200</v>
          </cell>
          <cell r="B2734" t="str">
            <v>Abdulla Alhashmi</v>
          </cell>
          <cell r="E2734" t="str">
            <v>AUH</v>
          </cell>
          <cell r="F2734" t="str">
            <v>AM</v>
          </cell>
          <cell r="I2734">
            <v>7000</v>
          </cell>
        </row>
        <row r="2735">
          <cell r="A2735">
            <v>45200</v>
          </cell>
          <cell r="B2735" t="str">
            <v>Ammar Alqudsi</v>
          </cell>
          <cell r="E2735" t="str">
            <v>AUH</v>
          </cell>
          <cell r="F2735" t="str">
            <v>AM</v>
          </cell>
          <cell r="I2735">
            <v>18000</v>
          </cell>
        </row>
        <row r="2736">
          <cell r="A2736">
            <v>45200</v>
          </cell>
          <cell r="B2736" t="str">
            <v>Humaid Almaazmi</v>
          </cell>
          <cell r="E2736" t="str">
            <v>AUH</v>
          </cell>
          <cell r="F2736" t="str">
            <v>AM</v>
          </cell>
          <cell r="I2736">
            <v>8000</v>
          </cell>
        </row>
        <row r="2737">
          <cell r="A2737">
            <v>45200</v>
          </cell>
          <cell r="B2737" t="str">
            <v>Khamis Almakrani</v>
          </cell>
          <cell r="E2737" t="str">
            <v>AUH</v>
          </cell>
          <cell r="F2737" t="str">
            <v>AM</v>
          </cell>
          <cell r="I2737">
            <v>7000</v>
          </cell>
        </row>
        <row r="2738">
          <cell r="A2738">
            <v>45200</v>
          </cell>
          <cell r="B2738" t="str">
            <v>Muhammad Nauman Khan</v>
          </cell>
          <cell r="E2738" t="str">
            <v>AUH</v>
          </cell>
          <cell r="F2738" t="str">
            <v>AM</v>
          </cell>
          <cell r="I2738">
            <v>8000</v>
          </cell>
        </row>
        <row r="2739">
          <cell r="A2739">
            <v>45200</v>
          </cell>
          <cell r="B2739" t="str">
            <v>Omar AlHammadi</v>
          </cell>
          <cell r="E2739" t="str">
            <v>AUH</v>
          </cell>
          <cell r="F2739" t="str">
            <v>AM</v>
          </cell>
          <cell r="I2739">
            <v>8000</v>
          </cell>
        </row>
        <row r="2740">
          <cell r="A2740">
            <v>45200</v>
          </cell>
          <cell r="B2740" t="str">
            <v>Tarek Solh</v>
          </cell>
          <cell r="E2740" t="str">
            <v>AUH</v>
          </cell>
          <cell r="F2740" t="str">
            <v>AM</v>
          </cell>
          <cell r="I2740">
            <v>40000</v>
          </cell>
        </row>
        <row r="2741">
          <cell r="A2741">
            <v>45200</v>
          </cell>
          <cell r="B2741" t="str">
            <v>Yousef Alhosani</v>
          </cell>
          <cell r="E2741" t="str">
            <v>AUH</v>
          </cell>
          <cell r="F2741" t="str">
            <v>AM</v>
          </cell>
          <cell r="I2741">
            <v>9000</v>
          </cell>
        </row>
        <row r="2742">
          <cell r="A2742">
            <v>45200</v>
          </cell>
          <cell r="B2742" t="str">
            <v>Khaled Alawadi</v>
          </cell>
          <cell r="E2742" t="str">
            <v>F-NE</v>
          </cell>
          <cell r="F2742" t="str">
            <v>D</v>
          </cell>
          <cell r="I2742">
            <v>56900</v>
          </cell>
        </row>
        <row r="2743">
          <cell r="A2743">
            <v>45200</v>
          </cell>
          <cell r="B2743" t="str">
            <v>Bader Al Shehhi</v>
          </cell>
          <cell r="E2743" t="str">
            <v>F-NE</v>
          </cell>
          <cell r="F2743" t="str">
            <v>AM</v>
          </cell>
          <cell r="I2743">
            <v>7000</v>
          </cell>
        </row>
        <row r="2744">
          <cell r="A2744">
            <v>45200</v>
          </cell>
          <cell r="B2744" t="str">
            <v>Bashar Al Adilee</v>
          </cell>
          <cell r="E2744" t="str">
            <v>F-NE</v>
          </cell>
          <cell r="F2744" t="str">
            <v>AM</v>
          </cell>
          <cell r="I2744">
            <v>14500</v>
          </cell>
        </row>
        <row r="2745">
          <cell r="A2745">
            <v>45200</v>
          </cell>
          <cell r="B2745" t="str">
            <v>Khalid Mohammed</v>
          </cell>
          <cell r="E2745" t="str">
            <v>F-NE</v>
          </cell>
          <cell r="F2745" t="str">
            <v>AM</v>
          </cell>
          <cell r="I2745">
            <v>8000</v>
          </cell>
        </row>
        <row r="2746">
          <cell r="A2746">
            <v>45200</v>
          </cell>
          <cell r="B2746" t="str">
            <v>Majd Nairoukh</v>
          </cell>
          <cell r="E2746" t="str">
            <v>F-NE</v>
          </cell>
          <cell r="F2746" t="str">
            <v>AM</v>
          </cell>
          <cell r="I2746">
            <v>10000</v>
          </cell>
        </row>
        <row r="2747">
          <cell r="A2747">
            <v>45200</v>
          </cell>
          <cell r="B2747" t="str">
            <v>Nader AlMustafa</v>
          </cell>
          <cell r="E2747" t="str">
            <v>F-NE</v>
          </cell>
          <cell r="F2747" t="str">
            <v>AM</v>
          </cell>
          <cell r="I2747">
            <v>12500</v>
          </cell>
        </row>
        <row r="2748">
          <cell r="A2748">
            <v>45200</v>
          </cell>
          <cell r="B2748" t="str">
            <v>Yousef Al Baloushi</v>
          </cell>
          <cell r="E2748" t="str">
            <v>F-NE</v>
          </cell>
          <cell r="F2748" t="str">
            <v>AM</v>
          </cell>
          <cell r="I2748">
            <v>4900</v>
          </cell>
        </row>
        <row r="2749">
          <cell r="A2749">
            <v>45200</v>
          </cell>
          <cell r="B2749" t="str">
            <v>Mohamad Amer Sibai</v>
          </cell>
          <cell r="E2749" t="str">
            <v>DXB</v>
          </cell>
          <cell r="F2749" t="str">
            <v>D</v>
          </cell>
          <cell r="I2749">
            <v>56900</v>
          </cell>
        </row>
        <row r="2750">
          <cell r="A2750">
            <v>45200</v>
          </cell>
          <cell r="B2750" t="str">
            <v>Ali AlZarooni</v>
          </cell>
          <cell r="E2750" t="str">
            <v>DXB</v>
          </cell>
          <cell r="F2750" t="str">
            <v>AM</v>
          </cell>
          <cell r="I2750">
            <v>10000</v>
          </cell>
        </row>
        <row r="2751">
          <cell r="A2751">
            <v>45200</v>
          </cell>
          <cell r="B2751" t="str">
            <v>Humaid Al Ali</v>
          </cell>
          <cell r="E2751" t="str">
            <v>DXB</v>
          </cell>
          <cell r="F2751" t="str">
            <v>AM</v>
          </cell>
          <cell r="I2751">
            <v>3000</v>
          </cell>
        </row>
        <row r="2752">
          <cell r="A2752">
            <v>45200</v>
          </cell>
          <cell r="B2752" t="str">
            <v>Mohamed Mady</v>
          </cell>
          <cell r="E2752" t="str">
            <v>DXB</v>
          </cell>
          <cell r="F2752" t="str">
            <v>AM</v>
          </cell>
          <cell r="I2752">
            <v>5900</v>
          </cell>
        </row>
        <row r="2753">
          <cell r="A2753">
            <v>45200</v>
          </cell>
          <cell r="B2753" t="str">
            <v>Ramzi Gholmieh</v>
          </cell>
          <cell r="E2753" t="str">
            <v>DXB</v>
          </cell>
          <cell r="F2753" t="str">
            <v>AM</v>
          </cell>
          <cell r="I2753">
            <v>6500</v>
          </cell>
        </row>
        <row r="2754">
          <cell r="A2754">
            <v>45200</v>
          </cell>
          <cell r="B2754" t="str">
            <v>Talal Ahmed Ali Alsharhan</v>
          </cell>
          <cell r="E2754" t="str">
            <v>DXB</v>
          </cell>
          <cell r="F2754" t="str">
            <v>AM</v>
          </cell>
          <cell r="I2754">
            <v>28000</v>
          </cell>
        </row>
        <row r="2755">
          <cell r="A2755">
            <v>45200</v>
          </cell>
          <cell r="B2755" t="str">
            <v>Tariq AlAwadhi</v>
          </cell>
          <cell r="E2755" t="str">
            <v>DXB</v>
          </cell>
          <cell r="F2755" t="str">
            <v>AM</v>
          </cell>
          <cell r="I2755">
            <v>3500</v>
          </cell>
        </row>
        <row r="2756">
          <cell r="A2756">
            <v>45200</v>
          </cell>
          <cell r="B2756" t="str">
            <v>Mohamed AlZarooni</v>
          </cell>
          <cell r="E2756" t="str">
            <v>HUNT</v>
          </cell>
          <cell r="F2756" t="str">
            <v>D</v>
          </cell>
          <cell r="H2756">
            <v>450</v>
          </cell>
          <cell r="I2756">
            <v>34900</v>
          </cell>
        </row>
        <row r="2757">
          <cell r="A2757">
            <v>45200</v>
          </cell>
          <cell r="B2757" t="str">
            <v>Adnan Bashir</v>
          </cell>
          <cell r="E2757" t="str">
            <v>HUNT</v>
          </cell>
          <cell r="F2757" t="str">
            <v>AM</v>
          </cell>
          <cell r="H2757">
            <v>110</v>
          </cell>
          <cell r="I2757">
            <v>6000</v>
          </cell>
        </row>
        <row r="2758">
          <cell r="A2758">
            <v>45200</v>
          </cell>
          <cell r="B2758" t="str">
            <v>Ammar Aladily</v>
          </cell>
          <cell r="E2758" t="str">
            <v>HUNT</v>
          </cell>
          <cell r="F2758" t="str">
            <v>AM</v>
          </cell>
          <cell r="H2758">
            <v>100</v>
          </cell>
          <cell r="I2758">
            <v>6633</v>
          </cell>
        </row>
        <row r="2759">
          <cell r="A2759">
            <v>45200</v>
          </cell>
          <cell r="B2759" t="str">
            <v>Favas Kurinhilayil</v>
          </cell>
          <cell r="E2759" t="str">
            <v>HUNT</v>
          </cell>
          <cell r="F2759" t="str">
            <v>AM</v>
          </cell>
          <cell r="H2759">
            <v>90</v>
          </cell>
          <cell r="I2759">
            <v>6634</v>
          </cell>
        </row>
        <row r="2760">
          <cell r="A2760">
            <v>45200</v>
          </cell>
          <cell r="B2760" t="str">
            <v>Othman Hassan</v>
          </cell>
          <cell r="E2760" t="str">
            <v>HUNT</v>
          </cell>
          <cell r="F2760" t="str">
            <v>AM</v>
          </cell>
          <cell r="H2760">
            <v>60</v>
          </cell>
          <cell r="I2760">
            <v>9000</v>
          </cell>
        </row>
        <row r="2761">
          <cell r="A2761">
            <v>45200</v>
          </cell>
          <cell r="B2761" t="str">
            <v>Shiraz Niazi</v>
          </cell>
          <cell r="E2761" t="str">
            <v>HUNT</v>
          </cell>
          <cell r="F2761" t="str">
            <v>AM</v>
          </cell>
          <cell r="H2761">
            <v>90</v>
          </cell>
          <cell r="I2761">
            <v>6633</v>
          </cell>
        </row>
        <row r="2762">
          <cell r="A2762">
            <v>45200</v>
          </cell>
          <cell r="B2762" t="str">
            <v>Muhammad Shahzad Hasan</v>
          </cell>
          <cell r="E2762" t="str">
            <v>TRM</v>
          </cell>
          <cell r="F2762" t="str">
            <v>D</v>
          </cell>
          <cell r="H2762">
            <v>1330</v>
          </cell>
          <cell r="I2762">
            <v>157500</v>
          </cell>
        </row>
        <row r="2763">
          <cell r="A2763">
            <v>45200</v>
          </cell>
          <cell r="B2763" t="str">
            <v>Abdulghaffar Alkhaja</v>
          </cell>
          <cell r="E2763" t="str">
            <v>TRM</v>
          </cell>
          <cell r="F2763" t="str">
            <v>AM</v>
          </cell>
          <cell r="H2763">
            <v>160</v>
          </cell>
          <cell r="I2763">
            <v>13500</v>
          </cell>
        </row>
        <row r="2764">
          <cell r="A2764">
            <v>45200</v>
          </cell>
          <cell r="B2764" t="str">
            <v>Eslam Hassan</v>
          </cell>
          <cell r="E2764" t="str">
            <v>TRM</v>
          </cell>
          <cell r="F2764" t="str">
            <v>AM</v>
          </cell>
          <cell r="H2764">
            <v>100</v>
          </cell>
          <cell r="I2764">
            <v>30000</v>
          </cell>
        </row>
        <row r="2765">
          <cell r="A2765">
            <v>45200</v>
          </cell>
          <cell r="B2765" t="str">
            <v>Khaled Abdelaziz</v>
          </cell>
          <cell r="E2765" t="str">
            <v>TRM</v>
          </cell>
          <cell r="F2765" t="str">
            <v>AM</v>
          </cell>
          <cell r="H2765">
            <v>150</v>
          </cell>
          <cell r="I2765">
            <v>20000</v>
          </cell>
        </row>
        <row r="2766">
          <cell r="A2766">
            <v>45200</v>
          </cell>
          <cell r="B2766" t="str">
            <v>Mohamad Labban</v>
          </cell>
          <cell r="E2766" t="str">
            <v>TRM</v>
          </cell>
          <cell r="F2766" t="str">
            <v>AM</v>
          </cell>
          <cell r="H2766">
            <v>300</v>
          </cell>
          <cell r="I2766">
            <v>15000</v>
          </cell>
        </row>
        <row r="2767">
          <cell r="A2767">
            <v>45200</v>
          </cell>
          <cell r="B2767" t="str">
            <v>Mohamed Kishk</v>
          </cell>
          <cell r="E2767" t="str">
            <v>TRM</v>
          </cell>
          <cell r="F2767" t="str">
            <v>AM</v>
          </cell>
          <cell r="H2767">
            <v>110</v>
          </cell>
          <cell r="I2767">
            <v>27000</v>
          </cell>
        </row>
        <row r="2768">
          <cell r="A2768">
            <v>45200</v>
          </cell>
          <cell r="B2768" t="str">
            <v>Mushahid Hussain Syed</v>
          </cell>
          <cell r="E2768" t="str">
            <v>TRM</v>
          </cell>
          <cell r="F2768" t="str">
            <v>AM</v>
          </cell>
          <cell r="H2768">
            <v>200</v>
          </cell>
          <cell r="I2768">
            <v>14000</v>
          </cell>
        </row>
        <row r="2769">
          <cell r="A2769">
            <v>45200</v>
          </cell>
          <cell r="B2769" t="str">
            <v>Osama ElWawi</v>
          </cell>
          <cell r="E2769" t="str">
            <v>TRM</v>
          </cell>
          <cell r="F2769" t="str">
            <v>AM</v>
          </cell>
          <cell r="H2769">
            <v>150</v>
          </cell>
          <cell r="I2769">
            <v>20000</v>
          </cell>
        </row>
        <row r="2770">
          <cell r="A2770">
            <v>45200</v>
          </cell>
          <cell r="B2770" t="str">
            <v>Simon Williams</v>
          </cell>
          <cell r="E2770" t="str">
            <v>TRM</v>
          </cell>
          <cell r="F2770" t="str">
            <v>AM</v>
          </cell>
          <cell r="H2770">
            <v>160</v>
          </cell>
          <cell r="I2770">
            <v>18000</v>
          </cell>
        </row>
        <row r="2771">
          <cell r="A2771">
            <v>45200</v>
          </cell>
          <cell r="B2771" t="str">
            <v>Mazen Adem</v>
          </cell>
          <cell r="E2771" t="str">
            <v>FOGH</v>
          </cell>
          <cell r="F2771" t="str">
            <v>D</v>
          </cell>
          <cell r="H2771">
            <v>1330</v>
          </cell>
          <cell r="I2771">
            <v>131300</v>
          </cell>
        </row>
        <row r="2772">
          <cell r="A2772">
            <v>45200</v>
          </cell>
          <cell r="B2772" t="str">
            <v>Abdel Azim Sharabati</v>
          </cell>
          <cell r="E2772" t="str">
            <v>FOGH</v>
          </cell>
          <cell r="F2772" t="str">
            <v>AM</v>
          </cell>
          <cell r="H2772">
            <v>140</v>
          </cell>
          <cell r="I2772">
            <v>10300</v>
          </cell>
        </row>
        <row r="2773">
          <cell r="A2773">
            <v>45200</v>
          </cell>
          <cell r="B2773" t="str">
            <v>Abraham Cherian</v>
          </cell>
          <cell r="E2773" t="str">
            <v>FOGH</v>
          </cell>
          <cell r="F2773" t="str">
            <v>AM</v>
          </cell>
          <cell r="H2773">
            <v>145</v>
          </cell>
          <cell r="I2773">
            <v>15000</v>
          </cell>
        </row>
        <row r="2774">
          <cell r="A2774">
            <v>45200</v>
          </cell>
          <cell r="B2774" t="str">
            <v>Arjun Subaraman</v>
          </cell>
          <cell r="E2774" t="str">
            <v>FOGH</v>
          </cell>
          <cell r="F2774" t="str">
            <v>AM</v>
          </cell>
          <cell r="H2774">
            <v>110</v>
          </cell>
          <cell r="I2774">
            <v>15000</v>
          </cell>
        </row>
        <row r="2775">
          <cell r="A2775">
            <v>45200</v>
          </cell>
          <cell r="B2775" t="str">
            <v>Ghassan Fouany</v>
          </cell>
          <cell r="E2775" t="str">
            <v>FOGH</v>
          </cell>
          <cell r="F2775" t="str">
            <v>AM</v>
          </cell>
          <cell r="H2775">
            <v>200</v>
          </cell>
          <cell r="I2775">
            <v>10000</v>
          </cell>
        </row>
        <row r="2776">
          <cell r="A2776">
            <v>45200</v>
          </cell>
          <cell r="B2776" t="str">
            <v>Inayat Fazili</v>
          </cell>
          <cell r="E2776" t="str">
            <v>FOGH</v>
          </cell>
          <cell r="F2776" t="str">
            <v>AM</v>
          </cell>
          <cell r="H2776">
            <v>80</v>
          </cell>
          <cell r="I2776">
            <v>15000</v>
          </cell>
        </row>
        <row r="2777">
          <cell r="A2777">
            <v>45200</v>
          </cell>
          <cell r="B2777" t="str">
            <v>Jalal Ismail</v>
          </cell>
          <cell r="E2777" t="str">
            <v>FOGH</v>
          </cell>
          <cell r="F2777" t="str">
            <v>AM</v>
          </cell>
          <cell r="H2777">
            <v>120</v>
          </cell>
          <cell r="I2777">
            <v>10000</v>
          </cell>
        </row>
        <row r="2778">
          <cell r="A2778">
            <v>45200</v>
          </cell>
          <cell r="B2778" t="str">
            <v>Mohamed Mostafa</v>
          </cell>
          <cell r="E2778" t="str">
            <v>FOGH</v>
          </cell>
          <cell r="F2778" t="str">
            <v>AM</v>
          </cell>
          <cell r="H2778">
            <v>73</v>
          </cell>
          <cell r="I2778">
            <v>20000</v>
          </cell>
        </row>
        <row r="2779">
          <cell r="A2779">
            <v>45200</v>
          </cell>
          <cell r="B2779" t="str">
            <v>Mohd Sheikh Salem</v>
          </cell>
          <cell r="E2779" t="str">
            <v>FOGH</v>
          </cell>
          <cell r="F2779" t="str">
            <v>AM</v>
          </cell>
          <cell r="H2779">
            <v>137</v>
          </cell>
          <cell r="I2779">
            <v>10000</v>
          </cell>
        </row>
        <row r="2780">
          <cell r="A2780">
            <v>45200</v>
          </cell>
          <cell r="B2780" t="str">
            <v>Nadeem Rasheed</v>
          </cell>
          <cell r="E2780" t="str">
            <v>FOGH</v>
          </cell>
          <cell r="F2780" t="str">
            <v>AM</v>
          </cell>
          <cell r="H2780">
            <v>160</v>
          </cell>
          <cell r="I2780">
            <v>16000</v>
          </cell>
        </row>
        <row r="2781">
          <cell r="A2781">
            <v>45200</v>
          </cell>
          <cell r="B2781" t="str">
            <v>Ramy Abdel Fattah</v>
          </cell>
          <cell r="E2781" t="str">
            <v>FOGH</v>
          </cell>
          <cell r="F2781" t="str">
            <v>AM</v>
          </cell>
          <cell r="H2781">
            <v>165</v>
          </cell>
          <cell r="I2781">
            <v>10000</v>
          </cell>
        </row>
        <row r="2782">
          <cell r="A2782">
            <v>45200</v>
          </cell>
          <cell r="B2782" t="str">
            <v>Hany Jawee</v>
          </cell>
          <cell r="E2782" t="str">
            <v>TRE</v>
          </cell>
          <cell r="F2782" t="str">
            <v>D</v>
          </cell>
          <cell r="H2782">
            <v>1070</v>
          </cell>
          <cell r="I2782">
            <v>157500</v>
          </cell>
        </row>
        <row r="2783">
          <cell r="A2783">
            <v>45200</v>
          </cell>
          <cell r="B2783" t="str">
            <v>Ahmad Ozdamir</v>
          </cell>
          <cell r="E2783" t="str">
            <v>TRE</v>
          </cell>
          <cell r="F2783" t="str">
            <v>AM</v>
          </cell>
          <cell r="H2783">
            <v>110</v>
          </cell>
          <cell r="I2783">
            <v>9797.9945533555001</v>
          </cell>
        </row>
        <row r="2784">
          <cell r="A2784">
            <v>45200</v>
          </cell>
          <cell r="B2784" t="str">
            <v>Amjad Ilwan</v>
          </cell>
          <cell r="E2784" t="str">
            <v>TRE</v>
          </cell>
          <cell r="F2784" t="str">
            <v>AM</v>
          </cell>
          <cell r="H2784">
            <v>110</v>
          </cell>
          <cell r="I2784">
            <v>9747.9943162743202</v>
          </cell>
        </row>
        <row r="2785">
          <cell r="A2785">
            <v>45200</v>
          </cell>
          <cell r="B2785" t="str">
            <v>Ehab Hajou</v>
          </cell>
          <cell r="E2785" t="str">
            <v>TRE</v>
          </cell>
          <cell r="F2785" t="str">
            <v>AM</v>
          </cell>
          <cell r="H2785">
            <v>60</v>
          </cell>
          <cell r="I2785">
            <v>34357.7660288892</v>
          </cell>
        </row>
        <row r="2786">
          <cell r="A2786">
            <v>45200</v>
          </cell>
          <cell r="B2786" t="str">
            <v>Fadi Saleh</v>
          </cell>
          <cell r="E2786" t="str">
            <v>TRE</v>
          </cell>
          <cell r="F2786" t="str">
            <v>AM</v>
          </cell>
          <cell r="H2786">
            <v>80</v>
          </cell>
          <cell r="I2786">
            <v>6936.8882174240998</v>
          </cell>
        </row>
        <row r="2787">
          <cell r="A2787">
            <v>45200</v>
          </cell>
          <cell r="B2787" t="str">
            <v>Majid Abdulla</v>
          </cell>
          <cell r="E2787" t="str">
            <v>TRE</v>
          </cell>
          <cell r="F2787" t="str">
            <v>AM</v>
          </cell>
          <cell r="H2787">
            <v>90</v>
          </cell>
          <cell r="I2787">
            <v>6936.8882174241153</v>
          </cell>
        </row>
        <row r="2788">
          <cell r="A2788">
            <v>45200</v>
          </cell>
          <cell r="B2788" t="str">
            <v>Mehfooz Mir</v>
          </cell>
          <cell r="E2788" t="str">
            <v>TRE</v>
          </cell>
          <cell r="F2788" t="str">
            <v>AM</v>
          </cell>
          <cell r="H2788">
            <v>100</v>
          </cell>
          <cell r="I2788">
            <v>8936.8882174241207</v>
          </cell>
        </row>
        <row r="2789">
          <cell r="A2789">
            <v>45200</v>
          </cell>
          <cell r="B2789" t="str">
            <v>Mostafa Mekawy</v>
          </cell>
          <cell r="E2789" t="str">
            <v>TRE</v>
          </cell>
          <cell r="F2789" t="str">
            <v>AM</v>
          </cell>
          <cell r="H2789">
            <v>80</v>
          </cell>
          <cell r="I2789">
            <v>40163.663991344503</v>
          </cell>
        </row>
        <row r="2790">
          <cell r="A2790">
            <v>45200</v>
          </cell>
          <cell r="B2790" t="str">
            <v>Peter Sedrak</v>
          </cell>
          <cell r="E2790" t="str">
            <v>TRE</v>
          </cell>
          <cell r="F2790" t="str">
            <v>AM</v>
          </cell>
          <cell r="H2790">
            <v>110</v>
          </cell>
          <cell r="I2790">
            <v>8936.8882174241207</v>
          </cell>
        </row>
        <row r="2791">
          <cell r="A2791">
            <v>45200</v>
          </cell>
          <cell r="B2791" t="str">
            <v>Rijith Menon</v>
          </cell>
          <cell r="E2791" t="str">
            <v>TRE</v>
          </cell>
          <cell r="F2791" t="str">
            <v>AM</v>
          </cell>
          <cell r="H2791">
            <v>90</v>
          </cell>
          <cell r="I2791">
            <v>10555.3733034202</v>
          </cell>
        </row>
        <row r="2792">
          <cell r="A2792">
            <v>45200</v>
          </cell>
          <cell r="B2792" t="str">
            <v>Suleiman Wanni</v>
          </cell>
          <cell r="E2792" t="str">
            <v>TRE</v>
          </cell>
          <cell r="F2792" t="str">
            <v>AM</v>
          </cell>
          <cell r="H2792">
            <v>120</v>
          </cell>
          <cell r="I2792">
            <v>10221.3152669256</v>
          </cell>
        </row>
        <row r="2793">
          <cell r="A2793">
            <v>45200</v>
          </cell>
          <cell r="B2793" t="str">
            <v>Waseem Suhaf</v>
          </cell>
          <cell r="E2793" t="str">
            <v>TRE</v>
          </cell>
          <cell r="F2793" t="str">
            <v>AM</v>
          </cell>
          <cell r="H2793">
            <v>120</v>
          </cell>
          <cell r="I2793">
            <v>10908.339670094199</v>
          </cell>
        </row>
        <row r="2794">
          <cell r="A2794">
            <v>45231</v>
          </cell>
          <cell r="B2794" t="str">
            <v>Khalid Karmastaji</v>
          </cell>
          <cell r="E2794" t="str">
            <v>AUH</v>
          </cell>
          <cell r="F2794" t="str">
            <v>D</v>
          </cell>
          <cell r="I2794">
            <v>150000</v>
          </cell>
        </row>
        <row r="2795">
          <cell r="A2795">
            <v>45231</v>
          </cell>
          <cell r="B2795" t="str">
            <v>Abdulla Alhashmi</v>
          </cell>
          <cell r="E2795" t="str">
            <v>AUH</v>
          </cell>
          <cell r="F2795" t="str">
            <v>AM</v>
          </cell>
          <cell r="I2795">
            <v>11000</v>
          </cell>
        </row>
        <row r="2796">
          <cell r="A2796">
            <v>45231</v>
          </cell>
          <cell r="B2796" t="str">
            <v>Ammar Alqudsi</v>
          </cell>
          <cell r="E2796" t="str">
            <v>AUH</v>
          </cell>
          <cell r="F2796" t="str">
            <v>AM</v>
          </cell>
          <cell r="I2796">
            <v>20000</v>
          </cell>
        </row>
        <row r="2797">
          <cell r="A2797">
            <v>45231</v>
          </cell>
          <cell r="B2797" t="str">
            <v>Humaid Almaazmi</v>
          </cell>
          <cell r="E2797" t="str">
            <v>AUH</v>
          </cell>
          <cell r="F2797" t="str">
            <v>AM</v>
          </cell>
          <cell r="I2797">
            <v>15000</v>
          </cell>
        </row>
        <row r="2798">
          <cell r="A2798">
            <v>45231</v>
          </cell>
          <cell r="B2798" t="str">
            <v>Khamis Almakrani</v>
          </cell>
          <cell r="E2798" t="str">
            <v>AUH</v>
          </cell>
          <cell r="F2798" t="str">
            <v>AM</v>
          </cell>
          <cell r="I2798">
            <v>10000</v>
          </cell>
        </row>
        <row r="2799">
          <cell r="A2799">
            <v>45231</v>
          </cell>
          <cell r="B2799" t="str">
            <v>Muhammad Nauman Khan</v>
          </cell>
          <cell r="E2799" t="str">
            <v>AUH</v>
          </cell>
          <cell r="F2799" t="str">
            <v>AM</v>
          </cell>
          <cell r="I2799">
            <v>22000</v>
          </cell>
        </row>
        <row r="2800">
          <cell r="A2800">
            <v>45231</v>
          </cell>
          <cell r="B2800" t="str">
            <v>Omar AlHammadi</v>
          </cell>
          <cell r="E2800" t="str">
            <v>AUH</v>
          </cell>
          <cell r="F2800" t="str">
            <v>AM</v>
          </cell>
          <cell r="I2800">
            <v>10000</v>
          </cell>
        </row>
        <row r="2801">
          <cell r="A2801">
            <v>45231</v>
          </cell>
          <cell r="B2801" t="str">
            <v>Tarek Solh</v>
          </cell>
          <cell r="E2801" t="str">
            <v>AUH</v>
          </cell>
          <cell r="F2801" t="str">
            <v>AM</v>
          </cell>
          <cell r="I2801">
            <v>51000</v>
          </cell>
        </row>
        <row r="2802">
          <cell r="A2802">
            <v>45231</v>
          </cell>
          <cell r="B2802" t="str">
            <v>Yousef Alhosani</v>
          </cell>
          <cell r="E2802" t="str">
            <v>AUH</v>
          </cell>
          <cell r="F2802" t="str">
            <v>AM</v>
          </cell>
          <cell r="I2802">
            <v>11000</v>
          </cell>
        </row>
        <row r="2803">
          <cell r="A2803">
            <v>45231</v>
          </cell>
          <cell r="B2803" t="str">
            <v>Khaled Alawadi</v>
          </cell>
          <cell r="E2803" t="str">
            <v>F-NE</v>
          </cell>
          <cell r="F2803" t="str">
            <v>D</v>
          </cell>
          <cell r="I2803">
            <v>81300</v>
          </cell>
        </row>
        <row r="2804">
          <cell r="A2804">
            <v>45231</v>
          </cell>
          <cell r="B2804" t="str">
            <v>Bader Al Shehhi</v>
          </cell>
          <cell r="E2804" t="str">
            <v>F-NE</v>
          </cell>
          <cell r="F2804" t="str">
            <v>AM</v>
          </cell>
          <cell r="I2804">
            <v>12000</v>
          </cell>
        </row>
        <row r="2805">
          <cell r="A2805">
            <v>45231</v>
          </cell>
          <cell r="B2805" t="str">
            <v>Bashar Al Adilee</v>
          </cell>
          <cell r="E2805" t="str">
            <v>F-NE</v>
          </cell>
          <cell r="F2805" t="str">
            <v>AM</v>
          </cell>
          <cell r="I2805">
            <v>25000</v>
          </cell>
        </row>
        <row r="2806">
          <cell r="A2806">
            <v>45231</v>
          </cell>
          <cell r="B2806" t="str">
            <v>Khalid Mohammed</v>
          </cell>
          <cell r="E2806" t="str">
            <v>F-NE</v>
          </cell>
          <cell r="F2806" t="str">
            <v>AM</v>
          </cell>
          <cell r="I2806">
            <v>12000</v>
          </cell>
        </row>
        <row r="2807">
          <cell r="A2807">
            <v>45231</v>
          </cell>
          <cell r="B2807" t="str">
            <v>Majd Nairoukh</v>
          </cell>
          <cell r="E2807" t="str">
            <v>F-NE</v>
          </cell>
          <cell r="F2807" t="str">
            <v>AM</v>
          </cell>
          <cell r="I2807">
            <v>12300</v>
          </cell>
        </row>
        <row r="2808">
          <cell r="A2808">
            <v>45231</v>
          </cell>
          <cell r="B2808" t="str">
            <v>Nader AlMustafa</v>
          </cell>
          <cell r="E2808" t="str">
            <v>F-NE</v>
          </cell>
          <cell r="F2808" t="str">
            <v>AM</v>
          </cell>
          <cell r="I2808">
            <v>15000</v>
          </cell>
        </row>
        <row r="2809">
          <cell r="A2809">
            <v>45231</v>
          </cell>
          <cell r="B2809" t="str">
            <v>Yousef Al Baloushi</v>
          </cell>
          <cell r="E2809" t="str">
            <v>F-NE</v>
          </cell>
          <cell r="F2809" t="str">
            <v>AM</v>
          </cell>
          <cell r="I2809">
            <v>5000</v>
          </cell>
        </row>
        <row r="2810">
          <cell r="A2810">
            <v>45231</v>
          </cell>
          <cell r="B2810" t="str">
            <v>Mohamad Amer Sibai</v>
          </cell>
          <cell r="E2810" t="str">
            <v>DXB</v>
          </cell>
          <cell r="F2810" t="str">
            <v>D</v>
          </cell>
          <cell r="I2810">
            <v>88700</v>
          </cell>
        </row>
        <row r="2811">
          <cell r="A2811">
            <v>45231</v>
          </cell>
          <cell r="B2811" t="str">
            <v>Ali AlZarooni</v>
          </cell>
          <cell r="E2811" t="str">
            <v>DXB</v>
          </cell>
          <cell r="F2811" t="str">
            <v>AM</v>
          </cell>
          <cell r="I2811">
            <v>2500</v>
          </cell>
        </row>
        <row r="2812">
          <cell r="A2812">
            <v>45231</v>
          </cell>
          <cell r="B2812" t="str">
            <v>Humaid Al Ali</v>
          </cell>
          <cell r="E2812" t="str">
            <v>DXB</v>
          </cell>
          <cell r="F2812" t="str">
            <v>AM</v>
          </cell>
          <cell r="I2812">
            <v>3700</v>
          </cell>
        </row>
        <row r="2813">
          <cell r="A2813">
            <v>45231</v>
          </cell>
          <cell r="B2813" t="str">
            <v>Mohamed Mady</v>
          </cell>
          <cell r="E2813" t="str">
            <v>DXB</v>
          </cell>
          <cell r="F2813" t="str">
            <v>AM</v>
          </cell>
          <cell r="I2813">
            <v>2000</v>
          </cell>
        </row>
        <row r="2814">
          <cell r="A2814">
            <v>45231</v>
          </cell>
          <cell r="B2814" t="str">
            <v>Ramzi Gholmieh</v>
          </cell>
          <cell r="E2814" t="str">
            <v>DXB</v>
          </cell>
          <cell r="F2814" t="str">
            <v>AM</v>
          </cell>
          <cell r="I2814">
            <v>4500</v>
          </cell>
        </row>
        <row r="2815">
          <cell r="A2815">
            <v>45231</v>
          </cell>
          <cell r="B2815" t="str">
            <v>Talal Ahmed Ali Alsharhan</v>
          </cell>
          <cell r="E2815" t="str">
            <v>DXB</v>
          </cell>
          <cell r="F2815" t="str">
            <v>AM</v>
          </cell>
          <cell r="I2815">
            <v>63000</v>
          </cell>
        </row>
        <row r="2816">
          <cell r="A2816">
            <v>45231</v>
          </cell>
          <cell r="B2816" t="str">
            <v>Tariq AlAwadhi</v>
          </cell>
          <cell r="E2816" t="str">
            <v>DXB</v>
          </cell>
          <cell r="F2816" t="str">
            <v>AM</v>
          </cell>
          <cell r="I2816">
            <v>13000</v>
          </cell>
        </row>
        <row r="2817">
          <cell r="A2817">
            <v>45231</v>
          </cell>
          <cell r="B2817" t="str">
            <v>Mohamed AlZarooni</v>
          </cell>
          <cell r="E2817" t="str">
            <v>HUNT</v>
          </cell>
          <cell r="F2817" t="str">
            <v>D</v>
          </cell>
          <cell r="H2817">
            <v>400</v>
          </cell>
          <cell r="I2817">
            <v>30000</v>
          </cell>
        </row>
        <row r="2818">
          <cell r="A2818">
            <v>45231</v>
          </cell>
          <cell r="B2818" t="str">
            <v>Adnan Bashir</v>
          </cell>
          <cell r="E2818" t="str">
            <v>HUNT</v>
          </cell>
          <cell r="F2818" t="str">
            <v>AM</v>
          </cell>
          <cell r="H2818">
            <v>100</v>
          </cell>
          <cell r="I2818">
            <v>7500</v>
          </cell>
        </row>
        <row r="2819">
          <cell r="A2819">
            <v>45231</v>
          </cell>
          <cell r="B2819" t="str">
            <v>Ammar Aladily</v>
          </cell>
          <cell r="E2819" t="str">
            <v>HUNT</v>
          </cell>
          <cell r="F2819" t="str">
            <v>AM</v>
          </cell>
          <cell r="H2819">
            <v>100</v>
          </cell>
          <cell r="I2819">
            <v>7500</v>
          </cell>
        </row>
        <row r="2820">
          <cell r="A2820">
            <v>45231</v>
          </cell>
          <cell r="B2820" t="str">
            <v>Favas Kurinhilayil</v>
          </cell>
          <cell r="E2820" t="str">
            <v>HUNT</v>
          </cell>
          <cell r="F2820" t="str">
            <v>AM</v>
          </cell>
          <cell r="H2820">
            <v>100</v>
          </cell>
          <cell r="I2820">
            <v>7500</v>
          </cell>
        </row>
        <row r="2821">
          <cell r="A2821">
            <v>45231</v>
          </cell>
          <cell r="B2821" t="str">
            <v>Othman Hassan</v>
          </cell>
          <cell r="E2821" t="str">
            <v>HUNT</v>
          </cell>
          <cell r="F2821" t="str">
            <v>AM</v>
          </cell>
          <cell r="H2821">
            <v>100</v>
          </cell>
          <cell r="I2821">
            <v>7500</v>
          </cell>
        </row>
        <row r="2822">
          <cell r="A2822">
            <v>45231</v>
          </cell>
          <cell r="B2822" t="str">
            <v>Muhammad Shahzad Hasan</v>
          </cell>
          <cell r="E2822" t="str">
            <v>TRM</v>
          </cell>
          <cell r="F2822" t="str">
            <v>D</v>
          </cell>
          <cell r="H2822">
            <v>1249.75</v>
          </cell>
          <cell r="I2822">
            <v>225000</v>
          </cell>
        </row>
        <row r="2823">
          <cell r="A2823">
            <v>45231</v>
          </cell>
          <cell r="B2823" t="str">
            <v>Abdulghaffar Alkhaja</v>
          </cell>
          <cell r="E2823" t="str">
            <v>TRM</v>
          </cell>
          <cell r="F2823" t="str">
            <v>AM</v>
          </cell>
          <cell r="H2823">
            <v>156.25</v>
          </cell>
          <cell r="I2823">
            <v>27857</v>
          </cell>
        </row>
        <row r="2824">
          <cell r="A2824">
            <v>45231</v>
          </cell>
          <cell r="B2824" t="str">
            <v>Eslam Hassan</v>
          </cell>
          <cell r="E2824" t="str">
            <v>TRM</v>
          </cell>
          <cell r="F2824" t="str">
            <v>AM</v>
          </cell>
          <cell r="H2824">
            <v>156.25</v>
          </cell>
          <cell r="I2824">
            <v>27857</v>
          </cell>
        </row>
        <row r="2825">
          <cell r="A2825">
            <v>45231</v>
          </cell>
          <cell r="B2825" t="str">
            <v>Khaled Abdelaziz</v>
          </cell>
          <cell r="E2825" t="str">
            <v>TRM</v>
          </cell>
          <cell r="F2825" t="str">
            <v>AM</v>
          </cell>
          <cell r="H2825">
            <v>156.25</v>
          </cell>
          <cell r="I2825">
            <v>27857</v>
          </cell>
        </row>
        <row r="2826">
          <cell r="A2826">
            <v>45231</v>
          </cell>
          <cell r="B2826" t="str">
            <v>Mohamad Labban</v>
          </cell>
          <cell r="E2826" t="str">
            <v>TRM</v>
          </cell>
          <cell r="F2826" t="str">
            <v>AM</v>
          </cell>
          <cell r="H2826">
            <v>156.25</v>
          </cell>
          <cell r="I2826">
            <v>27857</v>
          </cell>
        </row>
        <row r="2827">
          <cell r="A2827">
            <v>45231</v>
          </cell>
          <cell r="B2827" t="str">
            <v>Mohamed Kishk</v>
          </cell>
          <cell r="E2827" t="str">
            <v>TRM</v>
          </cell>
          <cell r="F2827" t="str">
            <v>AM</v>
          </cell>
          <cell r="H2827">
            <v>156.25</v>
          </cell>
          <cell r="I2827">
            <v>27857</v>
          </cell>
        </row>
        <row r="2828">
          <cell r="A2828">
            <v>45231</v>
          </cell>
          <cell r="B2828" t="str">
            <v>Mushahid Hussain Syed</v>
          </cell>
          <cell r="E2828" t="str">
            <v>TRM</v>
          </cell>
          <cell r="F2828" t="str">
            <v>AM</v>
          </cell>
          <cell r="H2828">
            <v>156.25</v>
          </cell>
          <cell r="I2828">
            <v>27858</v>
          </cell>
        </row>
        <row r="2829">
          <cell r="A2829">
            <v>45231</v>
          </cell>
          <cell r="B2829" t="str">
            <v>Peter Sedrak</v>
          </cell>
          <cell r="E2829" t="str">
            <v>TRM</v>
          </cell>
          <cell r="F2829" t="str">
            <v>AM</v>
          </cell>
          <cell r="H2829">
            <v>156</v>
          </cell>
          <cell r="I2829">
            <v>27857</v>
          </cell>
        </row>
        <row r="2830">
          <cell r="A2830">
            <v>45231</v>
          </cell>
          <cell r="B2830" t="str">
            <v>Simon Williams</v>
          </cell>
          <cell r="E2830" t="str">
            <v>TRM</v>
          </cell>
          <cell r="F2830" t="str">
            <v>AM</v>
          </cell>
          <cell r="H2830">
            <v>156.25</v>
          </cell>
          <cell r="I2830">
            <v>30000</v>
          </cell>
        </row>
        <row r="2831">
          <cell r="A2831">
            <v>45231</v>
          </cell>
          <cell r="B2831" t="str">
            <v>Shabbir Lacewala</v>
          </cell>
          <cell r="E2831" t="str">
            <v>TRM</v>
          </cell>
          <cell r="F2831" t="str">
            <v>AM</v>
          </cell>
          <cell r="H2831">
            <v>75</v>
          </cell>
          <cell r="I2831">
            <v>10000</v>
          </cell>
        </row>
        <row r="2832">
          <cell r="A2832">
            <v>45231</v>
          </cell>
          <cell r="B2832" t="str">
            <v>Mazen Adem</v>
          </cell>
          <cell r="E2832" t="str">
            <v>FOGH</v>
          </cell>
          <cell r="F2832" t="str">
            <v>D</v>
          </cell>
          <cell r="H2832">
            <v>1250</v>
          </cell>
          <cell r="I2832">
            <v>200000</v>
          </cell>
        </row>
        <row r="2833">
          <cell r="A2833">
            <v>45231</v>
          </cell>
          <cell r="B2833" t="str">
            <v>Abdel Azim Sharabati</v>
          </cell>
          <cell r="E2833" t="str">
            <v>FOGH</v>
          </cell>
          <cell r="F2833" t="str">
            <v>AM</v>
          </cell>
          <cell r="H2833">
            <v>85</v>
          </cell>
          <cell r="I2833">
            <v>22000</v>
          </cell>
        </row>
        <row r="2834">
          <cell r="A2834">
            <v>45231</v>
          </cell>
          <cell r="B2834" t="str">
            <v>Abraham Cherian</v>
          </cell>
          <cell r="E2834" t="str">
            <v>FOGH</v>
          </cell>
          <cell r="F2834" t="str">
            <v>AM</v>
          </cell>
          <cell r="H2834">
            <v>200</v>
          </cell>
          <cell r="I2834">
            <v>25000</v>
          </cell>
        </row>
        <row r="2835">
          <cell r="A2835">
            <v>45231</v>
          </cell>
          <cell r="B2835" t="str">
            <v>Arjun Subaraman</v>
          </cell>
          <cell r="E2835" t="str">
            <v>FOGH</v>
          </cell>
          <cell r="F2835" t="str">
            <v>AM</v>
          </cell>
          <cell r="H2835">
            <v>100</v>
          </cell>
          <cell r="I2835">
            <v>25000</v>
          </cell>
        </row>
        <row r="2836">
          <cell r="A2836">
            <v>45231</v>
          </cell>
          <cell r="B2836" t="str">
            <v>Ghassan Fouany</v>
          </cell>
          <cell r="E2836" t="str">
            <v>FOGH</v>
          </cell>
          <cell r="F2836" t="str">
            <v>AM</v>
          </cell>
          <cell r="H2836">
            <v>160</v>
          </cell>
          <cell r="I2836">
            <v>20000</v>
          </cell>
        </row>
        <row r="2837">
          <cell r="A2837">
            <v>45231</v>
          </cell>
          <cell r="B2837" t="str">
            <v>Inayat Fazili</v>
          </cell>
          <cell r="E2837" t="str">
            <v>FOGH</v>
          </cell>
          <cell r="F2837" t="str">
            <v>AM</v>
          </cell>
          <cell r="H2837">
            <v>125</v>
          </cell>
          <cell r="I2837">
            <v>18000</v>
          </cell>
        </row>
        <row r="2838">
          <cell r="A2838">
            <v>45231</v>
          </cell>
          <cell r="B2838" t="str">
            <v>Jalal Ismail</v>
          </cell>
          <cell r="E2838" t="str">
            <v>FOGH</v>
          </cell>
          <cell r="F2838" t="str">
            <v>AM</v>
          </cell>
          <cell r="H2838">
            <v>110</v>
          </cell>
          <cell r="I2838">
            <v>10000</v>
          </cell>
        </row>
        <row r="2839">
          <cell r="A2839">
            <v>45231</v>
          </cell>
          <cell r="B2839" t="str">
            <v>Mohamed Mostafa</v>
          </cell>
          <cell r="E2839" t="str">
            <v>FOGH</v>
          </cell>
          <cell r="F2839" t="str">
            <v>AM</v>
          </cell>
          <cell r="H2839">
            <v>85</v>
          </cell>
          <cell r="I2839">
            <v>22000</v>
          </cell>
        </row>
        <row r="2840">
          <cell r="A2840">
            <v>45231</v>
          </cell>
          <cell r="B2840" t="str">
            <v>Mohd Sheikh Salem</v>
          </cell>
          <cell r="E2840" t="str">
            <v>FOGH</v>
          </cell>
          <cell r="F2840" t="str">
            <v>AM</v>
          </cell>
          <cell r="H2840">
            <v>100</v>
          </cell>
          <cell r="I2840">
            <v>25000</v>
          </cell>
        </row>
        <row r="2841">
          <cell r="A2841">
            <v>45231</v>
          </cell>
          <cell r="B2841" t="str">
            <v>Nadeem Rasheed</v>
          </cell>
          <cell r="E2841" t="str">
            <v>FOGH</v>
          </cell>
          <cell r="F2841" t="str">
            <v>AM</v>
          </cell>
          <cell r="H2841">
            <v>200</v>
          </cell>
          <cell r="I2841">
            <v>15000</v>
          </cell>
        </row>
        <row r="2842">
          <cell r="A2842">
            <v>45231</v>
          </cell>
          <cell r="B2842" t="str">
            <v>Ramy Abdel Fattah</v>
          </cell>
          <cell r="E2842" t="str">
            <v>FOGH</v>
          </cell>
          <cell r="F2842" t="str">
            <v>AM</v>
          </cell>
          <cell r="H2842">
            <v>85</v>
          </cell>
          <cell r="I2842">
            <v>18000</v>
          </cell>
        </row>
        <row r="2843">
          <cell r="A2843">
            <v>45231</v>
          </cell>
          <cell r="B2843" t="str">
            <v>Hany Jawee</v>
          </cell>
          <cell r="E2843" t="str">
            <v>TRE</v>
          </cell>
          <cell r="F2843" t="str">
            <v>D</v>
          </cell>
          <cell r="H2843">
            <v>1130</v>
          </cell>
          <cell r="I2843">
            <v>225000</v>
          </cell>
        </row>
        <row r="2844">
          <cell r="A2844">
            <v>45231</v>
          </cell>
          <cell r="B2844" t="str">
            <v>Ahmad Ozdamir</v>
          </cell>
          <cell r="E2844" t="str">
            <v>TRE</v>
          </cell>
          <cell r="F2844" t="str">
            <v>AM</v>
          </cell>
          <cell r="H2844">
            <v>120</v>
          </cell>
          <cell r="I2844">
            <v>21944</v>
          </cell>
        </row>
        <row r="2845">
          <cell r="A2845">
            <v>45231</v>
          </cell>
          <cell r="B2845" t="str">
            <v>Amjad Ilwan</v>
          </cell>
          <cell r="E2845" t="str">
            <v>TRE</v>
          </cell>
          <cell r="F2845" t="str">
            <v>AM</v>
          </cell>
          <cell r="H2845">
            <v>120</v>
          </cell>
          <cell r="I2845">
            <v>22262</v>
          </cell>
        </row>
        <row r="2846">
          <cell r="A2846">
            <v>45231</v>
          </cell>
          <cell r="B2846" t="str">
            <v>Ehab Hajou</v>
          </cell>
          <cell r="E2846" t="str">
            <v>TRE</v>
          </cell>
          <cell r="F2846" t="str">
            <v>AM</v>
          </cell>
          <cell r="H2846">
            <v>120</v>
          </cell>
          <cell r="I2846">
            <v>26367</v>
          </cell>
        </row>
        <row r="2847">
          <cell r="A2847">
            <v>45231</v>
          </cell>
          <cell r="B2847" t="str">
            <v>Fadi Saleh</v>
          </cell>
          <cell r="E2847" t="str">
            <v>TRE</v>
          </cell>
          <cell r="F2847" t="str">
            <v>AM</v>
          </cell>
          <cell r="H2847">
            <v>113</v>
          </cell>
          <cell r="I2847">
            <v>21392</v>
          </cell>
        </row>
        <row r="2848">
          <cell r="A2848">
            <v>45231</v>
          </cell>
          <cell r="B2848" t="str">
            <v>Majid Abdulla</v>
          </cell>
          <cell r="E2848" t="str">
            <v>TRE</v>
          </cell>
          <cell r="F2848" t="str">
            <v>AM</v>
          </cell>
          <cell r="H2848">
            <v>79</v>
          </cell>
          <cell r="I2848">
            <v>13723</v>
          </cell>
        </row>
        <row r="2849">
          <cell r="A2849">
            <v>45231</v>
          </cell>
          <cell r="B2849" t="str">
            <v>Mehfooz Mir</v>
          </cell>
          <cell r="E2849" t="str">
            <v>TRE</v>
          </cell>
          <cell r="F2849" t="str">
            <v>AM</v>
          </cell>
          <cell r="H2849">
            <v>120</v>
          </cell>
          <cell r="I2849">
            <v>21944</v>
          </cell>
        </row>
        <row r="2850">
          <cell r="A2850">
            <v>45231</v>
          </cell>
          <cell r="B2850" t="str">
            <v>Mostafa Mekawy</v>
          </cell>
          <cell r="E2850" t="str">
            <v>TRE</v>
          </cell>
          <cell r="F2850" t="str">
            <v>AM</v>
          </cell>
          <cell r="H2850">
            <v>138</v>
          </cell>
          <cell r="I2850">
            <v>24142</v>
          </cell>
        </row>
        <row r="2851">
          <cell r="A2851">
            <v>45231</v>
          </cell>
          <cell r="B2851" t="str">
            <v>Rijith Menon</v>
          </cell>
          <cell r="E2851" t="str">
            <v>TRE</v>
          </cell>
          <cell r="F2851" t="str">
            <v>AM</v>
          </cell>
          <cell r="H2851">
            <v>100</v>
          </cell>
          <cell r="I2851">
            <v>13892</v>
          </cell>
        </row>
        <row r="2852">
          <cell r="A2852">
            <v>45231</v>
          </cell>
          <cell r="B2852" t="str">
            <v>Suleiman Wanni</v>
          </cell>
          <cell r="E2852" t="str">
            <v>TRE</v>
          </cell>
          <cell r="F2852" t="str">
            <v>AM</v>
          </cell>
          <cell r="H2852">
            <v>100</v>
          </cell>
          <cell r="I2852">
            <v>29367</v>
          </cell>
        </row>
        <row r="2853">
          <cell r="A2853">
            <v>45231</v>
          </cell>
          <cell r="B2853" t="str">
            <v>Waseem Suhaf</v>
          </cell>
          <cell r="E2853" t="str">
            <v>TRE</v>
          </cell>
          <cell r="F2853" t="str">
            <v>AM</v>
          </cell>
          <cell r="H2853">
            <v>120</v>
          </cell>
          <cell r="I2853">
            <v>29967</v>
          </cell>
        </row>
        <row r="2854">
          <cell r="A2854">
            <v>45261</v>
          </cell>
          <cell r="B2854" t="str">
            <v>Khalid Karmastaji</v>
          </cell>
          <cell r="E2854" t="str">
            <v>AUH</v>
          </cell>
          <cell r="F2854" t="str">
            <v>D</v>
          </cell>
          <cell r="H2854">
            <v>0</v>
          </cell>
          <cell r="I2854">
            <v>75000</v>
          </cell>
        </row>
        <row r="2855">
          <cell r="A2855">
            <v>45261</v>
          </cell>
          <cell r="B2855" t="str">
            <v>Abdulla Alhashmi</v>
          </cell>
          <cell r="E2855" t="str">
            <v>AUH</v>
          </cell>
          <cell r="F2855" t="str">
            <v>AM</v>
          </cell>
          <cell r="H2855">
            <v>0</v>
          </cell>
          <cell r="I2855">
            <v>7500</v>
          </cell>
        </row>
        <row r="2856">
          <cell r="A2856">
            <v>45261</v>
          </cell>
          <cell r="B2856" t="str">
            <v>Ammar Alqudsi</v>
          </cell>
          <cell r="E2856" t="str">
            <v>AUH</v>
          </cell>
          <cell r="F2856" t="str">
            <v>AM</v>
          </cell>
          <cell r="H2856">
            <v>0</v>
          </cell>
          <cell r="I2856">
            <v>7000</v>
          </cell>
        </row>
        <row r="2857">
          <cell r="A2857">
            <v>45261</v>
          </cell>
          <cell r="B2857" t="str">
            <v>Humaid Almaazmi</v>
          </cell>
          <cell r="E2857" t="str">
            <v>AUH</v>
          </cell>
          <cell r="F2857" t="str">
            <v>AM</v>
          </cell>
          <cell r="H2857">
            <v>0</v>
          </cell>
          <cell r="I2857">
            <v>20000</v>
          </cell>
        </row>
        <row r="2858">
          <cell r="A2858">
            <v>45261</v>
          </cell>
          <cell r="B2858" t="str">
            <v>Khamis Almakrani</v>
          </cell>
          <cell r="E2858" t="str">
            <v>AUH</v>
          </cell>
          <cell r="F2858" t="str">
            <v>AM</v>
          </cell>
          <cell r="H2858">
            <v>0</v>
          </cell>
          <cell r="I2858">
            <v>7500</v>
          </cell>
        </row>
        <row r="2859">
          <cell r="A2859">
            <v>45261</v>
          </cell>
          <cell r="B2859" t="str">
            <v>Muhammad Nauman Khan</v>
          </cell>
          <cell r="E2859" t="str">
            <v>AUH</v>
          </cell>
          <cell r="F2859" t="str">
            <v>AM</v>
          </cell>
          <cell r="H2859">
            <v>0</v>
          </cell>
          <cell r="I2859">
            <v>7000</v>
          </cell>
        </row>
        <row r="2860">
          <cell r="A2860">
            <v>45261</v>
          </cell>
          <cell r="B2860" t="str">
            <v>Omar AlHammadi</v>
          </cell>
          <cell r="E2860" t="str">
            <v>AUH</v>
          </cell>
          <cell r="F2860" t="str">
            <v>AM</v>
          </cell>
          <cell r="H2860">
            <v>0</v>
          </cell>
          <cell r="I2860">
            <v>7000</v>
          </cell>
        </row>
        <row r="2861">
          <cell r="A2861">
            <v>45261</v>
          </cell>
          <cell r="B2861" t="str">
            <v>Tarek Solh</v>
          </cell>
          <cell r="E2861" t="str">
            <v>AUH</v>
          </cell>
          <cell r="F2861" t="str">
            <v>AM</v>
          </cell>
          <cell r="H2861">
            <v>0</v>
          </cell>
          <cell r="I2861">
            <v>19000</v>
          </cell>
        </row>
        <row r="2862">
          <cell r="A2862">
            <v>45261</v>
          </cell>
          <cell r="B2862" t="str">
            <v>Khaled Alawadi</v>
          </cell>
          <cell r="E2862" t="str">
            <v>F-NE</v>
          </cell>
          <cell r="F2862" t="str">
            <v>D</v>
          </cell>
          <cell r="H2862">
            <v>0</v>
          </cell>
          <cell r="I2862">
            <v>125000</v>
          </cell>
        </row>
        <row r="2863">
          <cell r="A2863">
            <v>45261</v>
          </cell>
          <cell r="B2863" t="str">
            <v>Bader Al Shehhi</v>
          </cell>
          <cell r="E2863" t="str">
            <v>F-NE</v>
          </cell>
          <cell r="F2863" t="str">
            <v>AM</v>
          </cell>
          <cell r="H2863">
            <v>0</v>
          </cell>
          <cell r="I2863">
            <v>20835</v>
          </cell>
        </row>
        <row r="2864">
          <cell r="A2864">
            <v>45261</v>
          </cell>
          <cell r="B2864" t="str">
            <v>Bashar Al Adilee</v>
          </cell>
          <cell r="E2864" t="str">
            <v>F-NE</v>
          </cell>
          <cell r="F2864" t="str">
            <v>AM</v>
          </cell>
          <cell r="H2864">
            <v>0</v>
          </cell>
          <cell r="I2864">
            <v>20835</v>
          </cell>
        </row>
        <row r="2865">
          <cell r="A2865">
            <v>45261</v>
          </cell>
          <cell r="B2865" t="str">
            <v>Khalid Mohammed</v>
          </cell>
          <cell r="E2865" t="str">
            <v>F-NE</v>
          </cell>
          <cell r="F2865" t="str">
            <v>AM</v>
          </cell>
          <cell r="H2865">
            <v>0</v>
          </cell>
          <cell r="I2865">
            <v>20830</v>
          </cell>
        </row>
        <row r="2866">
          <cell r="A2866">
            <v>45261</v>
          </cell>
          <cell r="B2866" t="str">
            <v>Majd Nairoukh</v>
          </cell>
          <cell r="E2866" t="str">
            <v>F-NE</v>
          </cell>
          <cell r="F2866" t="str">
            <v>AM</v>
          </cell>
          <cell r="H2866">
            <v>0</v>
          </cell>
          <cell r="I2866">
            <v>20830</v>
          </cell>
        </row>
        <row r="2867">
          <cell r="A2867">
            <v>45261</v>
          </cell>
          <cell r="B2867" t="str">
            <v>Nader AlMustafa</v>
          </cell>
          <cell r="E2867" t="str">
            <v>F-NE</v>
          </cell>
          <cell r="F2867" t="str">
            <v>AM</v>
          </cell>
          <cell r="H2867">
            <v>0</v>
          </cell>
          <cell r="I2867">
            <v>20835</v>
          </cell>
        </row>
        <row r="2868">
          <cell r="A2868">
            <v>45261</v>
          </cell>
          <cell r="B2868" t="str">
            <v>Yousef Al Baloushi</v>
          </cell>
          <cell r="E2868" t="str">
            <v>F-NE</v>
          </cell>
          <cell r="F2868" t="str">
            <v>AM</v>
          </cell>
          <cell r="H2868">
            <v>0</v>
          </cell>
          <cell r="I2868">
            <v>20835</v>
          </cell>
        </row>
        <row r="2869">
          <cell r="A2869">
            <v>45261</v>
          </cell>
          <cell r="B2869" t="str">
            <v>Mohamad Amer Sibai</v>
          </cell>
          <cell r="E2869" t="str">
            <v>DXB</v>
          </cell>
          <cell r="F2869" t="str">
            <v>D</v>
          </cell>
          <cell r="H2869">
            <v>0</v>
          </cell>
          <cell r="I2869">
            <v>100000</v>
          </cell>
        </row>
        <row r="2870">
          <cell r="A2870">
            <v>45261</v>
          </cell>
          <cell r="B2870" t="str">
            <v>Ali AlZarooni</v>
          </cell>
          <cell r="E2870" t="str">
            <v>DXB</v>
          </cell>
          <cell r="F2870" t="str">
            <v>AM</v>
          </cell>
          <cell r="H2870">
            <v>0</v>
          </cell>
          <cell r="I2870">
            <v>5000</v>
          </cell>
        </row>
        <row r="2871">
          <cell r="A2871">
            <v>45261</v>
          </cell>
          <cell r="B2871" t="str">
            <v>Humaid Al Ali</v>
          </cell>
          <cell r="E2871" t="str">
            <v>DXB</v>
          </cell>
          <cell r="F2871" t="str">
            <v>AM</v>
          </cell>
          <cell r="H2871">
            <v>0</v>
          </cell>
          <cell r="I2871">
            <v>10000</v>
          </cell>
        </row>
        <row r="2872">
          <cell r="A2872">
            <v>45261</v>
          </cell>
          <cell r="B2872" t="str">
            <v>Mohamed Mady</v>
          </cell>
          <cell r="E2872" t="str">
            <v>DXB</v>
          </cell>
          <cell r="F2872" t="str">
            <v>AM</v>
          </cell>
          <cell r="H2872">
            <v>0</v>
          </cell>
          <cell r="I2872">
            <v>5000</v>
          </cell>
        </row>
        <row r="2873">
          <cell r="A2873">
            <v>45261</v>
          </cell>
          <cell r="B2873" t="str">
            <v>Ramzi Gholmieh</v>
          </cell>
          <cell r="E2873" t="str">
            <v>DXB</v>
          </cell>
          <cell r="F2873" t="str">
            <v>AM</v>
          </cell>
          <cell r="H2873">
            <v>0</v>
          </cell>
          <cell r="I2873">
            <v>30000</v>
          </cell>
        </row>
        <row r="2874">
          <cell r="A2874">
            <v>45261</v>
          </cell>
          <cell r="B2874" t="str">
            <v>Talal Ahmed Ali Alsharhan</v>
          </cell>
          <cell r="E2874" t="str">
            <v>DXB</v>
          </cell>
          <cell r="F2874" t="str">
            <v>AM</v>
          </cell>
          <cell r="H2874">
            <v>0</v>
          </cell>
          <cell r="I2874">
            <v>45000</v>
          </cell>
        </row>
        <row r="2875">
          <cell r="A2875">
            <v>45261</v>
          </cell>
          <cell r="B2875" t="str">
            <v>Tariq AlAwadhi</v>
          </cell>
          <cell r="E2875" t="str">
            <v>DXB</v>
          </cell>
          <cell r="F2875" t="str">
            <v>AM</v>
          </cell>
          <cell r="H2875">
            <v>0</v>
          </cell>
          <cell r="I2875">
            <v>5000</v>
          </cell>
        </row>
        <row r="2876">
          <cell r="A2876">
            <v>45261</v>
          </cell>
          <cell r="B2876" t="str">
            <v>Mohamed AlZarooni</v>
          </cell>
          <cell r="E2876" t="str">
            <v>HUNT</v>
          </cell>
          <cell r="F2876" t="str">
            <v>D</v>
          </cell>
          <cell r="H2876">
            <v>100</v>
          </cell>
          <cell r="I2876">
            <v>80000</v>
          </cell>
        </row>
        <row r="2877">
          <cell r="A2877">
            <v>45261</v>
          </cell>
          <cell r="B2877" t="str">
            <v>Adnan Bashir</v>
          </cell>
          <cell r="E2877" t="str">
            <v>HUNT</v>
          </cell>
          <cell r="F2877" t="str">
            <v>AM</v>
          </cell>
          <cell r="H2877">
            <v>25</v>
          </cell>
          <cell r="I2877">
            <v>20122.153380607913</v>
          </cell>
        </row>
        <row r="2878">
          <cell r="A2878">
            <v>45261</v>
          </cell>
          <cell r="B2878" t="str">
            <v>Ammar Aladily</v>
          </cell>
          <cell r="E2878" t="str">
            <v>HUNT</v>
          </cell>
          <cell r="F2878" t="str">
            <v>AM</v>
          </cell>
          <cell r="H2878">
            <v>25</v>
          </cell>
          <cell r="I2878">
            <v>19572.50161385761</v>
          </cell>
        </row>
        <row r="2879">
          <cell r="A2879">
            <v>45261</v>
          </cell>
          <cell r="B2879" t="str">
            <v>Favas Kurinhilayil</v>
          </cell>
          <cell r="E2879" t="str">
            <v>HUNT</v>
          </cell>
          <cell r="F2879" t="str">
            <v>AM</v>
          </cell>
          <cell r="H2879">
            <v>25</v>
          </cell>
          <cell r="I2879">
            <v>20732.843391676866</v>
          </cell>
        </row>
        <row r="2880">
          <cell r="A2880">
            <v>45261</v>
          </cell>
          <cell r="B2880" t="str">
            <v>Othman Hassan</v>
          </cell>
          <cell r="E2880" t="str">
            <v>HUNT</v>
          </cell>
          <cell r="F2880" t="str">
            <v>AM</v>
          </cell>
          <cell r="H2880">
            <v>25</v>
          </cell>
          <cell r="I2880">
            <v>19572.50161385761</v>
          </cell>
        </row>
        <row r="2881">
          <cell r="A2881">
            <v>45261</v>
          </cell>
          <cell r="B2881" t="str">
            <v>Muhammad Shahzad Hasan</v>
          </cell>
          <cell r="E2881" t="str">
            <v>TRM</v>
          </cell>
          <cell r="F2881" t="str">
            <v>D</v>
          </cell>
          <cell r="H2881">
            <v>800.00000000000011</v>
          </cell>
          <cell r="I2881">
            <v>120000</v>
          </cell>
        </row>
        <row r="2882">
          <cell r="A2882">
            <v>45261</v>
          </cell>
          <cell r="B2882" t="str">
            <v>Abdulghaffar Alkhaja</v>
          </cell>
          <cell r="E2882" t="str">
            <v>TRM</v>
          </cell>
          <cell r="F2882" t="str">
            <v>AM</v>
          </cell>
          <cell r="H2882">
            <v>88.888888888888886</v>
          </cell>
          <cell r="I2882">
            <v>13000</v>
          </cell>
        </row>
        <row r="2883">
          <cell r="A2883">
            <v>45261</v>
          </cell>
          <cell r="B2883" t="str">
            <v>Eslam Hassan</v>
          </cell>
          <cell r="E2883" t="str">
            <v>TRM</v>
          </cell>
          <cell r="F2883" t="str">
            <v>AM</v>
          </cell>
          <cell r="H2883">
            <v>88.888888888888886</v>
          </cell>
          <cell r="I2883">
            <v>13500</v>
          </cell>
        </row>
        <row r="2884">
          <cell r="A2884">
            <v>45261</v>
          </cell>
          <cell r="B2884" t="str">
            <v>Khaled Abdelaziz</v>
          </cell>
          <cell r="E2884" t="str">
            <v>TRM</v>
          </cell>
          <cell r="F2884" t="str">
            <v>AM</v>
          </cell>
          <cell r="H2884">
            <v>88.888888888888886</v>
          </cell>
          <cell r="I2884">
            <v>13234</v>
          </cell>
        </row>
        <row r="2885">
          <cell r="A2885">
            <v>45261</v>
          </cell>
          <cell r="B2885" t="str">
            <v>Mohamad Labban</v>
          </cell>
          <cell r="E2885" t="str">
            <v>TRM</v>
          </cell>
          <cell r="F2885" t="str">
            <v>AM</v>
          </cell>
          <cell r="H2885">
            <v>88.888888888888886</v>
          </cell>
          <cell r="I2885">
            <v>13500</v>
          </cell>
        </row>
        <row r="2886">
          <cell r="A2886">
            <v>45261</v>
          </cell>
          <cell r="B2886" t="str">
            <v>Mohamed Kishk</v>
          </cell>
          <cell r="E2886" t="str">
            <v>TRM</v>
          </cell>
          <cell r="F2886" t="str">
            <v>AM</v>
          </cell>
          <cell r="H2886">
            <v>88.888888888888886</v>
          </cell>
          <cell r="I2886">
            <v>13500</v>
          </cell>
        </row>
        <row r="2887">
          <cell r="A2887">
            <v>45261</v>
          </cell>
          <cell r="B2887" t="str">
            <v>Mushahid Hussain Syed</v>
          </cell>
          <cell r="E2887" t="str">
            <v>TRM</v>
          </cell>
          <cell r="F2887" t="str">
            <v>AM</v>
          </cell>
          <cell r="H2887">
            <v>88.888888888888886</v>
          </cell>
          <cell r="I2887">
            <v>13333</v>
          </cell>
        </row>
        <row r="2888">
          <cell r="A2888">
            <v>45261</v>
          </cell>
          <cell r="B2888" t="str">
            <v>Peter Sedrak</v>
          </cell>
          <cell r="E2888" t="str">
            <v>TRM</v>
          </cell>
          <cell r="F2888" t="str">
            <v>AM</v>
          </cell>
          <cell r="H2888">
            <v>88.888888888888886</v>
          </cell>
          <cell r="I2888">
            <v>13333</v>
          </cell>
        </row>
        <row r="2889">
          <cell r="A2889">
            <v>45261</v>
          </cell>
          <cell r="B2889" t="str">
            <v>Simon Williams</v>
          </cell>
          <cell r="E2889" t="str">
            <v>TRM</v>
          </cell>
          <cell r="F2889" t="str">
            <v>AM</v>
          </cell>
          <cell r="H2889">
            <v>88.888888888888886</v>
          </cell>
          <cell r="I2889">
            <v>13500</v>
          </cell>
        </row>
        <row r="2890">
          <cell r="A2890">
            <v>45261</v>
          </cell>
          <cell r="B2890" t="str">
            <v>Shabbir Lacewala</v>
          </cell>
          <cell r="E2890" t="str">
            <v>TRM</v>
          </cell>
          <cell r="F2890" t="str">
            <v>AM</v>
          </cell>
          <cell r="H2890">
            <v>88.888888888888886</v>
          </cell>
          <cell r="I2890">
            <v>13100</v>
          </cell>
        </row>
        <row r="2891">
          <cell r="A2891">
            <v>45261</v>
          </cell>
          <cell r="B2891" t="str">
            <v>Mazen Adem</v>
          </cell>
          <cell r="E2891" t="str">
            <v>FOGH</v>
          </cell>
          <cell r="F2891" t="str">
            <v>D</v>
          </cell>
          <cell r="H2891">
            <v>1200</v>
          </cell>
          <cell r="I2891">
            <v>250000</v>
          </cell>
        </row>
        <row r="2892">
          <cell r="A2892">
            <v>45261</v>
          </cell>
          <cell r="B2892" t="str">
            <v>Abdel Azim Sharabati</v>
          </cell>
          <cell r="E2892" t="str">
            <v>FOGH</v>
          </cell>
          <cell r="F2892" t="str">
            <v>AM</v>
          </cell>
          <cell r="H2892">
            <v>100</v>
          </cell>
          <cell r="I2892">
            <v>24000</v>
          </cell>
        </row>
        <row r="2893">
          <cell r="A2893">
            <v>45261</v>
          </cell>
          <cell r="B2893" t="str">
            <v>Abraham Cherian</v>
          </cell>
          <cell r="E2893" t="str">
            <v>FOGH</v>
          </cell>
          <cell r="F2893" t="str">
            <v>AM</v>
          </cell>
          <cell r="H2893">
            <v>120</v>
          </cell>
          <cell r="I2893">
            <v>25000</v>
          </cell>
        </row>
        <row r="2894">
          <cell r="A2894">
            <v>45261</v>
          </cell>
          <cell r="B2894" t="str">
            <v>Arjun Subaraman</v>
          </cell>
          <cell r="E2894" t="str">
            <v>FOGH</v>
          </cell>
          <cell r="F2894" t="str">
            <v>AM</v>
          </cell>
          <cell r="H2894">
            <v>90</v>
          </cell>
          <cell r="I2894">
            <v>30000</v>
          </cell>
        </row>
        <row r="2895">
          <cell r="A2895">
            <v>45261</v>
          </cell>
          <cell r="B2895" t="str">
            <v>Ghassan Fouany</v>
          </cell>
          <cell r="E2895" t="str">
            <v>FOGH</v>
          </cell>
          <cell r="F2895" t="str">
            <v>AM</v>
          </cell>
          <cell r="H2895">
            <v>100</v>
          </cell>
          <cell r="I2895">
            <v>25000</v>
          </cell>
        </row>
        <row r="2896">
          <cell r="A2896">
            <v>45261</v>
          </cell>
          <cell r="B2896" t="str">
            <v>Inayat Fazili</v>
          </cell>
          <cell r="E2896" t="str">
            <v>FOGH</v>
          </cell>
          <cell r="F2896" t="str">
            <v>AM</v>
          </cell>
          <cell r="H2896">
            <v>85</v>
          </cell>
          <cell r="I2896">
            <v>31000</v>
          </cell>
        </row>
        <row r="2897">
          <cell r="A2897">
            <v>45261</v>
          </cell>
          <cell r="B2897" t="str">
            <v>Jalal Ismail</v>
          </cell>
          <cell r="E2897" t="str">
            <v>FOGH</v>
          </cell>
          <cell r="F2897" t="str">
            <v>AM</v>
          </cell>
          <cell r="H2897">
            <v>105</v>
          </cell>
          <cell r="I2897">
            <v>18000</v>
          </cell>
        </row>
        <row r="2898">
          <cell r="A2898">
            <v>45261</v>
          </cell>
          <cell r="B2898" t="str">
            <v>Mohamed Mostafa</v>
          </cell>
          <cell r="E2898" t="str">
            <v>FOGH</v>
          </cell>
          <cell r="F2898" t="str">
            <v>AM</v>
          </cell>
          <cell r="H2898">
            <v>160</v>
          </cell>
          <cell r="I2898">
            <v>25000</v>
          </cell>
        </row>
        <row r="2899">
          <cell r="A2899">
            <v>45261</v>
          </cell>
          <cell r="B2899" t="str">
            <v>Mohd Sheikh Salem</v>
          </cell>
          <cell r="E2899" t="str">
            <v>FOGH</v>
          </cell>
          <cell r="F2899" t="str">
            <v>AM</v>
          </cell>
          <cell r="H2899">
            <v>120</v>
          </cell>
          <cell r="I2899">
            <v>22000</v>
          </cell>
        </row>
        <row r="2900">
          <cell r="A2900">
            <v>45261</v>
          </cell>
          <cell r="B2900" t="str">
            <v>Nadeem Rasheed</v>
          </cell>
          <cell r="E2900" t="str">
            <v>FOGH</v>
          </cell>
          <cell r="F2900" t="str">
            <v>AM</v>
          </cell>
          <cell r="H2900">
            <v>160</v>
          </cell>
          <cell r="I2900">
            <v>25000</v>
          </cell>
        </row>
        <row r="2901">
          <cell r="A2901">
            <v>45261</v>
          </cell>
          <cell r="B2901" t="str">
            <v>Ramy Abdel Fattah</v>
          </cell>
          <cell r="E2901" t="str">
            <v>FOGH</v>
          </cell>
          <cell r="F2901" t="str">
            <v>AM</v>
          </cell>
          <cell r="H2901">
            <v>160</v>
          </cell>
          <cell r="I2901">
            <v>25000</v>
          </cell>
        </row>
        <row r="2902">
          <cell r="A2902">
            <v>45261</v>
          </cell>
          <cell r="B2902" t="str">
            <v>Hany Jawee</v>
          </cell>
          <cell r="E2902" t="str">
            <v>TRE</v>
          </cell>
          <cell r="F2902" t="str">
            <v>D</v>
          </cell>
          <cell r="H2902">
            <v>900</v>
          </cell>
          <cell r="I2902">
            <v>249999.75149578179</v>
          </cell>
        </row>
        <row r="2903">
          <cell r="A2903">
            <v>45261</v>
          </cell>
          <cell r="B2903" t="str">
            <v>Ahmad Ozdamir</v>
          </cell>
          <cell r="E2903" t="str">
            <v>TRE</v>
          </cell>
          <cell r="F2903" t="str">
            <v>AM</v>
          </cell>
          <cell r="H2903">
            <v>110</v>
          </cell>
          <cell r="I2903">
            <v>25894</v>
          </cell>
        </row>
        <row r="2904">
          <cell r="A2904">
            <v>45261</v>
          </cell>
          <cell r="B2904" t="str">
            <v>Amjad Ilwan</v>
          </cell>
          <cell r="E2904" t="str">
            <v>TRE</v>
          </cell>
          <cell r="F2904" t="str">
            <v>AM</v>
          </cell>
          <cell r="H2904">
            <v>110</v>
          </cell>
          <cell r="I2904">
            <v>25290</v>
          </cell>
        </row>
        <row r="2905">
          <cell r="A2905">
            <v>45261</v>
          </cell>
          <cell r="B2905" t="str">
            <v>Ehab Hajou</v>
          </cell>
          <cell r="E2905" t="str">
            <v>TRE</v>
          </cell>
          <cell r="F2905" t="str">
            <v>AM</v>
          </cell>
          <cell r="H2905">
            <v>95</v>
          </cell>
          <cell r="I2905">
            <v>25590</v>
          </cell>
        </row>
        <row r="2906">
          <cell r="A2906">
            <v>45261</v>
          </cell>
          <cell r="B2906" t="str">
            <v>Fadi Saleh</v>
          </cell>
          <cell r="E2906" t="str">
            <v>TRE</v>
          </cell>
          <cell r="F2906" t="str">
            <v>AM</v>
          </cell>
          <cell r="H2906">
            <v>70</v>
          </cell>
          <cell r="I2906">
            <v>18293.875747890899</v>
          </cell>
        </row>
        <row r="2907">
          <cell r="A2907">
            <v>45261</v>
          </cell>
          <cell r="B2907" t="str">
            <v>Majid Abdulla</v>
          </cell>
          <cell r="E2907" t="str">
            <v>TRE</v>
          </cell>
          <cell r="F2907" t="str">
            <v>AM</v>
          </cell>
          <cell r="H2907">
            <v>50</v>
          </cell>
          <cell r="I2907">
            <v>14265</v>
          </cell>
        </row>
        <row r="2908">
          <cell r="A2908">
            <v>45261</v>
          </cell>
          <cell r="B2908" t="str">
            <v>Mehfooz Mir</v>
          </cell>
          <cell r="E2908" t="str">
            <v>TRE</v>
          </cell>
          <cell r="F2908" t="str">
            <v>AM</v>
          </cell>
          <cell r="H2908">
            <v>90</v>
          </cell>
          <cell r="I2908">
            <v>22293.875747890899</v>
          </cell>
        </row>
        <row r="2909">
          <cell r="A2909">
            <v>45261</v>
          </cell>
          <cell r="B2909" t="str">
            <v>Mostafa Mekawy</v>
          </cell>
          <cell r="E2909" t="str">
            <v>TRE</v>
          </cell>
          <cell r="F2909" t="str">
            <v>AM</v>
          </cell>
          <cell r="H2909">
            <v>105</v>
          </cell>
          <cell r="I2909">
            <v>27200</v>
          </cell>
        </row>
        <row r="2910">
          <cell r="A2910">
            <v>45261</v>
          </cell>
          <cell r="B2910" t="str">
            <v>Rijith Menon</v>
          </cell>
          <cell r="E2910" t="str">
            <v>TRE</v>
          </cell>
          <cell r="F2910" t="str">
            <v>AM</v>
          </cell>
          <cell r="H2910">
            <v>105</v>
          </cell>
          <cell r="I2910">
            <v>27491</v>
          </cell>
        </row>
        <row r="2911">
          <cell r="A2911">
            <v>45261</v>
          </cell>
          <cell r="B2911" t="str">
            <v>Suleiman Wanni</v>
          </cell>
          <cell r="E2911" t="str">
            <v>TRE</v>
          </cell>
          <cell r="F2911" t="str">
            <v>AM</v>
          </cell>
          <cell r="H2911">
            <v>55</v>
          </cell>
          <cell r="I2911">
            <v>25091</v>
          </cell>
        </row>
        <row r="2912">
          <cell r="A2912">
            <v>45261</v>
          </cell>
          <cell r="B2912" t="str">
            <v>Waseem Suhaf</v>
          </cell>
          <cell r="E2912" t="str">
            <v>TRE</v>
          </cell>
          <cell r="F2912" t="str">
            <v>AM</v>
          </cell>
          <cell r="H2912">
            <v>110</v>
          </cell>
          <cell r="I2912">
            <v>38591</v>
          </cell>
        </row>
        <row r="2913">
          <cell r="A2913">
            <v>45292</v>
          </cell>
          <cell r="B2913" t="str">
            <v>Khalid Karmastaji</v>
          </cell>
          <cell r="E2913" t="str">
            <v>AUH</v>
          </cell>
          <cell r="F2913" t="str">
            <v>D</v>
          </cell>
          <cell r="H2913">
            <v>0</v>
          </cell>
          <cell r="I2913">
            <v>228657.33397186798</v>
          </cell>
        </row>
        <row r="2914">
          <cell r="A2914">
            <v>45292</v>
          </cell>
          <cell r="B2914" t="str">
            <v>Abdulla Alhashmi</v>
          </cell>
          <cell r="E2914" t="str">
            <v>AUH</v>
          </cell>
          <cell r="F2914" t="str">
            <v>AM</v>
          </cell>
          <cell r="H2914">
            <v>0</v>
          </cell>
          <cell r="I2914">
            <v>34640.500566028699</v>
          </cell>
        </row>
        <row r="2915">
          <cell r="A2915">
            <v>45292</v>
          </cell>
          <cell r="B2915" t="str">
            <v>Ammar Alqudsi</v>
          </cell>
          <cell r="E2915" t="str">
            <v>AUH</v>
          </cell>
          <cell r="F2915" t="str">
            <v>AM</v>
          </cell>
          <cell r="H2915">
            <v>0</v>
          </cell>
          <cell r="I2915">
            <v>35394.166842376202</v>
          </cell>
        </row>
        <row r="2916">
          <cell r="A2916">
            <v>45292</v>
          </cell>
          <cell r="B2916" t="str">
            <v>Humaid Almaazmi</v>
          </cell>
          <cell r="E2916" t="str">
            <v>AUH</v>
          </cell>
          <cell r="F2916" t="str">
            <v>AM</v>
          </cell>
          <cell r="H2916">
            <v>0</v>
          </cell>
          <cell r="I2916">
            <v>38294.166842376202</v>
          </cell>
        </row>
        <row r="2917">
          <cell r="A2917">
            <v>45292</v>
          </cell>
          <cell r="B2917" t="str">
            <v>Khamis Almakrani</v>
          </cell>
          <cell r="E2917" t="str">
            <v>AUH</v>
          </cell>
          <cell r="F2917" t="str">
            <v>AM</v>
          </cell>
          <cell r="H2917">
            <v>0</v>
          </cell>
          <cell r="I2917">
            <v>25406.878320015199</v>
          </cell>
        </row>
        <row r="2918">
          <cell r="A2918">
            <v>45292</v>
          </cell>
          <cell r="B2918" t="str">
            <v>Muhammad Nauman Khan</v>
          </cell>
          <cell r="E2918" t="str">
            <v>AUH</v>
          </cell>
          <cell r="F2918" t="str">
            <v>AM</v>
          </cell>
          <cell r="H2918">
            <v>0</v>
          </cell>
          <cell r="I2918">
            <v>26505.878320015199</v>
          </cell>
        </row>
        <row r="2919">
          <cell r="A2919">
            <v>45292</v>
          </cell>
          <cell r="B2919" t="str">
            <v>Omar AlHammadi</v>
          </cell>
          <cell r="E2919" t="str">
            <v>AUH</v>
          </cell>
          <cell r="F2919" t="str">
            <v>AM</v>
          </cell>
          <cell r="H2919">
            <v>0</v>
          </cell>
          <cell r="I2919">
            <v>25103.878320015199</v>
          </cell>
        </row>
        <row r="2920">
          <cell r="A2920">
            <v>45292</v>
          </cell>
          <cell r="B2920" t="str">
            <v>Tarek Solh</v>
          </cell>
          <cell r="E2920" t="str">
            <v>AUH</v>
          </cell>
          <cell r="F2920" t="str">
            <v>AM</v>
          </cell>
          <cell r="H2920">
            <v>0</v>
          </cell>
          <cell r="I2920">
            <v>43311.634960045601</v>
          </cell>
        </row>
        <row r="2921">
          <cell r="A2921">
            <v>45292</v>
          </cell>
          <cell r="B2921" t="str">
            <v>Mohamad Amer Sibai</v>
          </cell>
          <cell r="E2921" t="str">
            <v>DXB</v>
          </cell>
          <cell r="F2921" t="str">
            <v>D</v>
          </cell>
          <cell r="H2921">
            <v>0</v>
          </cell>
          <cell r="I2921">
            <v>117565.51912613442</v>
          </cell>
        </row>
        <row r="2922">
          <cell r="A2922">
            <v>45292</v>
          </cell>
          <cell r="B2922" t="str">
            <v>Ali AlZarooni</v>
          </cell>
          <cell r="E2922" t="str">
            <v>DXB</v>
          </cell>
          <cell r="F2922" t="str">
            <v>AM</v>
          </cell>
          <cell r="H2922">
            <v>0</v>
          </cell>
          <cell r="I2922">
            <v>13700</v>
          </cell>
        </row>
        <row r="2923">
          <cell r="A2923">
            <v>45292</v>
          </cell>
          <cell r="B2923" t="str">
            <v>Humaid Al Ali</v>
          </cell>
          <cell r="E2923" t="str">
            <v>DXB</v>
          </cell>
          <cell r="F2923" t="str">
            <v>AM</v>
          </cell>
          <cell r="H2923">
            <v>0</v>
          </cell>
          <cell r="I2923">
            <v>25488.50637537814</v>
          </cell>
        </row>
        <row r="2924">
          <cell r="A2924">
            <v>45292</v>
          </cell>
          <cell r="B2924" t="str">
            <v>Mohamed Mady</v>
          </cell>
          <cell r="E2924" t="str">
            <v>DXB</v>
          </cell>
          <cell r="F2924" t="str">
            <v>AM</v>
          </cell>
          <cell r="H2924">
            <v>0</v>
          </cell>
          <cell r="I2924">
            <v>13700</v>
          </cell>
        </row>
        <row r="2925">
          <cell r="A2925">
            <v>45292</v>
          </cell>
          <cell r="B2925" t="str">
            <v>Ramzi Gholmieh</v>
          </cell>
          <cell r="E2925" t="str">
            <v>DXB</v>
          </cell>
          <cell r="F2925" t="str">
            <v>AM</v>
          </cell>
          <cell r="H2925">
            <v>0</v>
          </cell>
          <cell r="I2925">
            <v>25488.50637537814</v>
          </cell>
        </row>
        <row r="2926">
          <cell r="A2926">
            <v>45292</v>
          </cell>
          <cell r="B2926" t="str">
            <v>Talal Ahmed Ali Alsharhan</v>
          </cell>
          <cell r="E2926" t="str">
            <v>DXB</v>
          </cell>
          <cell r="F2926" t="str">
            <v>AM</v>
          </cell>
          <cell r="H2926">
            <v>0</v>
          </cell>
          <cell r="I2926">
            <v>13700</v>
          </cell>
        </row>
        <row r="2927">
          <cell r="A2927">
            <v>45292</v>
          </cell>
          <cell r="B2927" t="str">
            <v>Tariq AlAwadhi</v>
          </cell>
          <cell r="E2927" t="str">
            <v>DXB</v>
          </cell>
          <cell r="F2927" t="str">
            <v>AM</v>
          </cell>
          <cell r="H2927">
            <v>0</v>
          </cell>
          <cell r="I2927">
            <v>25488.5063753781</v>
          </cell>
        </row>
        <row r="2928">
          <cell r="A2928">
            <v>45292</v>
          </cell>
          <cell r="B2928" t="str">
            <v>Khaled Alawadi</v>
          </cell>
          <cell r="E2928" t="str">
            <v>F-NE</v>
          </cell>
          <cell r="F2928" t="str">
            <v>D</v>
          </cell>
          <cell r="H2928">
            <v>0</v>
          </cell>
          <cell r="I2928">
            <v>47390.997103357629</v>
          </cell>
        </row>
        <row r="2929">
          <cell r="A2929">
            <v>45292</v>
          </cell>
          <cell r="B2929" t="str">
            <v>Bader Al Shehhi</v>
          </cell>
          <cell r="E2929" t="str">
            <v>F-NE</v>
          </cell>
          <cell r="F2929" t="str">
            <v>AM</v>
          </cell>
          <cell r="H2929">
            <v>0</v>
          </cell>
          <cell r="I2929">
            <v>6645.0468003960159</v>
          </cell>
        </row>
        <row r="2930">
          <cell r="A2930">
            <v>45292</v>
          </cell>
          <cell r="B2930" t="str">
            <v>Bashar Al Adilee</v>
          </cell>
          <cell r="E2930" t="str">
            <v>F-NE</v>
          </cell>
          <cell r="F2930" t="str">
            <v>AM</v>
          </cell>
          <cell r="H2930">
            <v>0</v>
          </cell>
          <cell r="I2930">
            <v>14766.7706675467</v>
          </cell>
        </row>
        <row r="2931">
          <cell r="A2931">
            <v>45292</v>
          </cell>
          <cell r="B2931" t="str">
            <v>Khalid Mohammed</v>
          </cell>
          <cell r="E2931" t="str">
            <v>F-NE</v>
          </cell>
          <cell r="F2931" t="str">
            <v>AM</v>
          </cell>
          <cell r="H2931">
            <v>0</v>
          </cell>
          <cell r="I2931">
            <v>6645.0468003960159</v>
          </cell>
        </row>
        <row r="2932">
          <cell r="A2932">
            <v>45292</v>
          </cell>
          <cell r="B2932" t="str">
            <v>Majd Nairoukh</v>
          </cell>
          <cell r="E2932" t="str">
            <v>F-NE</v>
          </cell>
          <cell r="F2932" t="str">
            <v>AM</v>
          </cell>
          <cell r="H2932">
            <v>0</v>
          </cell>
          <cell r="I2932">
            <v>7383.3853337733499</v>
          </cell>
        </row>
        <row r="2933">
          <cell r="A2933">
            <v>45292</v>
          </cell>
          <cell r="B2933" t="str">
            <v>Nader AlMustafa</v>
          </cell>
          <cell r="E2933" t="str">
            <v>F-NE</v>
          </cell>
          <cell r="F2933" t="str">
            <v>AM</v>
          </cell>
          <cell r="H2933">
            <v>0</v>
          </cell>
          <cell r="I2933">
            <v>6044.0392342268651</v>
          </cell>
        </row>
        <row r="2934">
          <cell r="A2934">
            <v>45292</v>
          </cell>
          <cell r="B2934" t="str">
            <v>Yousef Al Baloushi</v>
          </cell>
          <cell r="E2934" t="str">
            <v>F-NE</v>
          </cell>
          <cell r="F2934" t="str">
            <v>AM</v>
          </cell>
          <cell r="H2934">
            <v>0</v>
          </cell>
          <cell r="I2934">
            <v>5906.7082670186801</v>
          </cell>
        </row>
        <row r="2935">
          <cell r="A2935">
            <v>45292</v>
          </cell>
          <cell r="B2935" t="str">
            <v>Mazen Adem</v>
          </cell>
          <cell r="E2935" t="str">
            <v>FOGH</v>
          </cell>
          <cell r="F2935" t="str">
            <v>D</v>
          </cell>
          <cell r="H2935">
            <v>1300</v>
          </cell>
          <cell r="I2935">
            <v>328625.45995459857</v>
          </cell>
        </row>
        <row r="2936">
          <cell r="A2936">
            <v>45292</v>
          </cell>
          <cell r="B2936" t="str">
            <v>Abdel Azim Sharabati</v>
          </cell>
          <cell r="E2936" t="str">
            <v>FOGH</v>
          </cell>
          <cell r="F2936" t="str">
            <v>AM</v>
          </cell>
          <cell r="H2936">
            <v>130</v>
          </cell>
          <cell r="I2936">
            <v>32862</v>
          </cell>
        </row>
        <row r="2937">
          <cell r="A2937">
            <v>45292</v>
          </cell>
          <cell r="B2937" t="str">
            <v>Abraham Cherian</v>
          </cell>
          <cell r="E2937" t="str">
            <v>FOGH</v>
          </cell>
          <cell r="F2937" t="str">
            <v>AM</v>
          </cell>
          <cell r="H2937">
            <v>130</v>
          </cell>
          <cell r="I2937">
            <v>32863</v>
          </cell>
        </row>
        <row r="2938">
          <cell r="A2938">
            <v>45292</v>
          </cell>
          <cell r="B2938" t="str">
            <v>Arjun Subaraman</v>
          </cell>
          <cell r="E2938" t="str">
            <v>FOGH</v>
          </cell>
          <cell r="F2938" t="str">
            <v>AM</v>
          </cell>
          <cell r="H2938">
            <v>130</v>
          </cell>
          <cell r="I2938">
            <v>32862</v>
          </cell>
        </row>
        <row r="2939">
          <cell r="A2939">
            <v>45292</v>
          </cell>
          <cell r="B2939" t="str">
            <v>Ghassan Fouany</v>
          </cell>
          <cell r="E2939" t="str">
            <v>FOGH</v>
          </cell>
          <cell r="F2939" t="str">
            <v>AM</v>
          </cell>
          <cell r="H2939">
            <v>130</v>
          </cell>
          <cell r="I2939">
            <v>32863</v>
          </cell>
        </row>
        <row r="2940">
          <cell r="A2940">
            <v>45292</v>
          </cell>
          <cell r="B2940" t="str">
            <v>Inayat Fazili</v>
          </cell>
          <cell r="E2940" t="str">
            <v>FOGH</v>
          </cell>
          <cell r="F2940" t="str">
            <v>AM</v>
          </cell>
          <cell r="H2940">
            <v>130</v>
          </cell>
          <cell r="I2940">
            <v>32862</v>
          </cell>
        </row>
        <row r="2941">
          <cell r="A2941">
            <v>45292</v>
          </cell>
          <cell r="B2941" t="str">
            <v>Jalal Ismail</v>
          </cell>
          <cell r="E2941" t="str">
            <v>FOGH</v>
          </cell>
          <cell r="F2941" t="str">
            <v>AM</v>
          </cell>
          <cell r="H2941">
            <v>130</v>
          </cell>
          <cell r="I2941">
            <v>32863</v>
          </cell>
        </row>
        <row r="2942">
          <cell r="A2942">
            <v>45292</v>
          </cell>
          <cell r="B2942" t="str">
            <v>Mohamed Mostafa</v>
          </cell>
          <cell r="E2942" t="str">
            <v>FOGH</v>
          </cell>
          <cell r="F2942" t="str">
            <v>AM</v>
          </cell>
          <cell r="H2942">
            <v>130</v>
          </cell>
          <cell r="I2942">
            <v>32862</v>
          </cell>
        </row>
        <row r="2943">
          <cell r="A2943">
            <v>45292</v>
          </cell>
          <cell r="B2943" t="str">
            <v>Mohd Sheikh Salem</v>
          </cell>
          <cell r="E2943" t="str">
            <v>FOGH</v>
          </cell>
          <cell r="F2943" t="str">
            <v>AM</v>
          </cell>
          <cell r="H2943">
            <v>130</v>
          </cell>
          <cell r="I2943">
            <v>32863</v>
          </cell>
        </row>
        <row r="2944">
          <cell r="A2944">
            <v>45292</v>
          </cell>
          <cell r="B2944" t="str">
            <v>Nadeem Rasheed</v>
          </cell>
          <cell r="E2944" t="str">
            <v>FOGH</v>
          </cell>
          <cell r="F2944" t="str">
            <v>AM</v>
          </cell>
          <cell r="H2944">
            <v>130</v>
          </cell>
          <cell r="I2944">
            <v>32862</v>
          </cell>
        </row>
        <row r="2945">
          <cell r="A2945">
            <v>45292</v>
          </cell>
          <cell r="B2945" t="str">
            <v>Ramy Abdel Fattah</v>
          </cell>
          <cell r="E2945" t="str">
            <v>FOGH</v>
          </cell>
          <cell r="F2945" t="str">
            <v>AM</v>
          </cell>
          <cell r="H2945">
            <v>130</v>
          </cell>
          <cell r="I2945">
            <v>32863</v>
          </cell>
        </row>
        <row r="2946">
          <cell r="A2946">
            <v>45292</v>
          </cell>
          <cell r="B2946" t="str">
            <v>Mohamed AlZarooni</v>
          </cell>
          <cell r="E2946" t="str">
            <v>HUNT</v>
          </cell>
          <cell r="F2946" t="str">
            <v>D</v>
          </cell>
          <cell r="H2946">
            <v>300</v>
          </cell>
          <cell r="I2946">
            <v>96401.814122978336</v>
          </cell>
        </row>
        <row r="2947">
          <cell r="A2947">
            <v>45292</v>
          </cell>
          <cell r="B2947" t="str">
            <v>Adnan Bashir</v>
          </cell>
          <cell r="E2947" t="str">
            <v>HUNT</v>
          </cell>
          <cell r="F2947" t="str">
            <v>AM</v>
          </cell>
          <cell r="H2947">
            <v>64.285714285714278</v>
          </cell>
          <cell r="I2947">
            <v>22256.803178780541</v>
          </cell>
        </row>
        <row r="2948">
          <cell r="A2948">
            <v>45292</v>
          </cell>
          <cell r="B2948" t="str">
            <v>Ammar Aladily</v>
          </cell>
          <cell r="E2948" t="str">
            <v>HUNT</v>
          </cell>
          <cell r="F2948" t="str">
            <v>AM</v>
          </cell>
          <cell r="H2948">
            <v>64.285714285714278</v>
          </cell>
          <cell r="I2948">
            <v>22253.849781331126</v>
          </cell>
        </row>
        <row r="2949">
          <cell r="A2949">
            <v>45292</v>
          </cell>
          <cell r="B2949" t="str">
            <v>Favas Kurinhilayil</v>
          </cell>
          <cell r="E2949" t="str">
            <v>HUNT</v>
          </cell>
          <cell r="F2949" t="str">
            <v>AM</v>
          </cell>
          <cell r="H2949">
            <v>64.285714285714278</v>
          </cell>
          <cell r="I2949">
            <v>22253.849781331126</v>
          </cell>
        </row>
        <row r="2950">
          <cell r="A2950">
            <v>45292</v>
          </cell>
          <cell r="B2950" t="str">
            <v>Othman Hassan</v>
          </cell>
          <cell r="E2950" t="str">
            <v>HUNT</v>
          </cell>
          <cell r="F2950" t="str">
            <v>AM</v>
          </cell>
          <cell r="H2950">
            <v>64.285714285714278</v>
          </cell>
          <cell r="I2950">
            <v>22253.849781331126</v>
          </cell>
        </row>
        <row r="2951">
          <cell r="A2951">
            <v>45292</v>
          </cell>
          <cell r="B2951" t="str">
            <v>Anastasia Maltseva</v>
          </cell>
          <cell r="E2951" t="str">
            <v>HUNT</v>
          </cell>
          <cell r="F2951" t="str">
            <v>AM</v>
          </cell>
          <cell r="H2951">
            <v>42.857142857142854</v>
          </cell>
          <cell r="I2951">
            <v>7383.4936235338837</v>
          </cell>
        </row>
        <row r="2952">
          <cell r="A2952">
            <v>45292</v>
          </cell>
          <cell r="B2952" t="str">
            <v>Hany Jawee</v>
          </cell>
          <cell r="E2952" t="str">
            <v>TRE</v>
          </cell>
          <cell r="F2952" t="str">
            <v>D</v>
          </cell>
          <cell r="H2952">
            <v>1020</v>
          </cell>
          <cell r="I2952">
            <v>255635.73278963318</v>
          </cell>
        </row>
        <row r="2953">
          <cell r="A2953">
            <v>45292</v>
          </cell>
          <cell r="B2953" t="str">
            <v>Ahmad Ozdamir</v>
          </cell>
          <cell r="E2953" t="str">
            <v>TRE</v>
          </cell>
          <cell r="F2953" t="str">
            <v>AM</v>
          </cell>
          <cell r="H2953">
            <v>140</v>
          </cell>
          <cell r="I2953">
            <v>18035</v>
          </cell>
        </row>
        <row r="2954">
          <cell r="A2954">
            <v>45292</v>
          </cell>
          <cell r="B2954" t="str">
            <v>Amjad Ilwan</v>
          </cell>
          <cell r="E2954" t="str">
            <v>TRE</v>
          </cell>
          <cell r="F2954" t="str">
            <v>AM</v>
          </cell>
          <cell r="H2954">
            <v>140</v>
          </cell>
          <cell r="I2954">
            <v>18135</v>
          </cell>
        </row>
        <row r="2955">
          <cell r="A2955">
            <v>45292</v>
          </cell>
          <cell r="B2955" t="str">
            <v>Ehab Hajou</v>
          </cell>
          <cell r="E2955" t="str">
            <v>TRE</v>
          </cell>
          <cell r="F2955" t="str">
            <v>AM</v>
          </cell>
          <cell r="H2955">
            <v>110</v>
          </cell>
          <cell r="I2955">
            <v>20535</v>
          </cell>
        </row>
        <row r="2956">
          <cell r="A2956">
            <v>45292</v>
          </cell>
          <cell r="B2956" t="str">
            <v>Fadi Saleh</v>
          </cell>
          <cell r="E2956" t="str">
            <v>TRE</v>
          </cell>
          <cell r="F2956" t="str">
            <v>AM</v>
          </cell>
          <cell r="H2956">
            <v>90</v>
          </cell>
          <cell r="I2956">
            <v>10500</v>
          </cell>
        </row>
        <row r="2957">
          <cell r="A2957">
            <v>45292</v>
          </cell>
          <cell r="B2957" t="str">
            <v>Majid Abdulla</v>
          </cell>
          <cell r="E2957" t="str">
            <v>TRE</v>
          </cell>
          <cell r="F2957" t="str">
            <v>AM</v>
          </cell>
          <cell r="H2957">
            <v>70</v>
          </cell>
          <cell r="I2957">
            <v>5500</v>
          </cell>
        </row>
        <row r="2958">
          <cell r="A2958">
            <v>45292</v>
          </cell>
          <cell r="B2958" t="str">
            <v>Mehfooz Mir</v>
          </cell>
          <cell r="E2958" t="str">
            <v>TRE</v>
          </cell>
          <cell r="F2958" t="str">
            <v>AM</v>
          </cell>
          <cell r="H2958">
            <v>90</v>
          </cell>
          <cell r="I2958">
            <v>18035</v>
          </cell>
        </row>
        <row r="2959">
          <cell r="A2959">
            <v>45292</v>
          </cell>
          <cell r="B2959" t="str">
            <v>Mostafa Mekawy</v>
          </cell>
          <cell r="E2959" t="str">
            <v>TRE</v>
          </cell>
          <cell r="F2959" t="str">
            <v>AM</v>
          </cell>
          <cell r="H2959">
            <v>140</v>
          </cell>
          <cell r="I2959">
            <v>21535</v>
          </cell>
        </row>
        <row r="2960">
          <cell r="A2960">
            <v>45292</v>
          </cell>
          <cell r="B2960" t="str">
            <v>Rijith Menon</v>
          </cell>
          <cell r="E2960" t="str">
            <v>TRE</v>
          </cell>
          <cell r="F2960" t="str">
            <v>AM</v>
          </cell>
          <cell r="H2960">
            <v>70</v>
          </cell>
          <cell r="I2960">
            <v>50566</v>
          </cell>
        </row>
        <row r="2961">
          <cell r="A2961">
            <v>45292</v>
          </cell>
          <cell r="B2961" t="str">
            <v>Suleiman Wanni</v>
          </cell>
          <cell r="E2961" t="str">
            <v>TRE</v>
          </cell>
          <cell r="F2961" t="str">
            <v>AM</v>
          </cell>
          <cell r="H2961">
            <v>90</v>
          </cell>
          <cell r="I2961">
            <v>21711</v>
          </cell>
        </row>
        <row r="2962">
          <cell r="A2962">
            <v>45292</v>
          </cell>
          <cell r="B2962" t="str">
            <v>Waseem Suhaf</v>
          </cell>
          <cell r="E2962" t="str">
            <v>TRE</v>
          </cell>
          <cell r="F2962" t="str">
            <v>AM</v>
          </cell>
          <cell r="H2962">
            <v>80</v>
          </cell>
          <cell r="I2962">
            <v>71084</v>
          </cell>
        </row>
        <row r="2963">
          <cell r="A2963">
            <v>45292</v>
          </cell>
          <cell r="B2963" t="str">
            <v>Muhammad Shahzad Hasan</v>
          </cell>
          <cell r="E2963" t="str">
            <v>TRM</v>
          </cell>
          <cell r="F2963" t="str">
            <v>D</v>
          </cell>
          <cell r="H2963">
            <v>1000</v>
          </cell>
          <cell r="I2963">
            <v>125723.14293142997</v>
          </cell>
        </row>
        <row r="2964">
          <cell r="A2964">
            <v>45292</v>
          </cell>
          <cell r="B2964" t="str">
            <v>Abdulghaffar Alkhaja</v>
          </cell>
          <cell r="E2964" t="str">
            <v>TRM</v>
          </cell>
          <cell r="F2964" t="str">
            <v>AM</v>
          </cell>
          <cell r="H2964">
            <v>111.1111111111111</v>
          </cell>
          <cell r="I2964">
            <v>13968.852824912519</v>
          </cell>
        </row>
        <row r="2965">
          <cell r="A2965">
            <v>45292</v>
          </cell>
          <cell r="B2965" t="str">
            <v>Eslam Hassan</v>
          </cell>
          <cell r="E2965" t="str">
            <v>TRM</v>
          </cell>
          <cell r="F2965" t="str">
            <v>AM</v>
          </cell>
          <cell r="H2965">
            <v>111.1111111111111</v>
          </cell>
          <cell r="I2965">
            <v>13970.58657852117</v>
          </cell>
        </row>
        <row r="2966">
          <cell r="A2966">
            <v>45292</v>
          </cell>
          <cell r="B2966" t="str">
            <v>Khaled Abdelaziz</v>
          </cell>
          <cell r="E2966" t="str">
            <v>TRM</v>
          </cell>
          <cell r="F2966" t="str">
            <v>AM</v>
          </cell>
          <cell r="H2966">
            <v>111.1111111111111</v>
          </cell>
          <cell r="I2966">
            <v>13968.852824912519</v>
          </cell>
        </row>
        <row r="2967">
          <cell r="A2967">
            <v>45292</v>
          </cell>
          <cell r="B2967" t="str">
            <v>Mohamad Labban</v>
          </cell>
          <cell r="E2967" t="str">
            <v>TRM</v>
          </cell>
          <cell r="F2967" t="str">
            <v>AM</v>
          </cell>
          <cell r="H2967">
            <v>111.1111111111111</v>
          </cell>
          <cell r="I2967">
            <v>13968.852824912519</v>
          </cell>
        </row>
        <row r="2968">
          <cell r="A2968">
            <v>45292</v>
          </cell>
          <cell r="B2968" t="str">
            <v>Mohamed Kishk</v>
          </cell>
          <cell r="E2968" t="str">
            <v>TRM</v>
          </cell>
          <cell r="F2968" t="str">
            <v>AM</v>
          </cell>
          <cell r="H2968">
            <v>111.1111111111111</v>
          </cell>
          <cell r="I2968">
            <v>13970.58657852117</v>
          </cell>
        </row>
        <row r="2969">
          <cell r="A2969">
            <v>45292</v>
          </cell>
          <cell r="B2969" t="str">
            <v>Mushahid Hussain Syed</v>
          </cell>
          <cell r="E2969" t="str">
            <v>TRM</v>
          </cell>
          <cell r="F2969" t="str">
            <v>AM</v>
          </cell>
          <cell r="H2969">
            <v>111.1111111111111</v>
          </cell>
          <cell r="I2969">
            <v>13968.852824912519</v>
          </cell>
        </row>
        <row r="2970">
          <cell r="A2970">
            <v>45292</v>
          </cell>
          <cell r="B2970" t="str">
            <v>Peter Sedrak</v>
          </cell>
          <cell r="E2970" t="str">
            <v>TRM</v>
          </cell>
          <cell r="F2970" t="str">
            <v>AM</v>
          </cell>
          <cell r="H2970">
            <v>111.1111111111111</v>
          </cell>
          <cell r="I2970">
            <v>13968.852824912519</v>
          </cell>
        </row>
        <row r="2971">
          <cell r="A2971">
            <v>45292</v>
          </cell>
          <cell r="B2971" t="str">
            <v>Simon Williams</v>
          </cell>
          <cell r="E2971" t="str">
            <v>TRM</v>
          </cell>
          <cell r="F2971" t="str">
            <v>AM</v>
          </cell>
          <cell r="H2971">
            <v>111.1111111111111</v>
          </cell>
          <cell r="I2971">
            <v>13968.852824912519</v>
          </cell>
        </row>
        <row r="2972">
          <cell r="A2972">
            <v>45292</v>
          </cell>
          <cell r="B2972" t="str">
            <v>Shabbir Lacewala</v>
          </cell>
          <cell r="E2972" t="str">
            <v>TRM</v>
          </cell>
          <cell r="F2972" t="str">
            <v>AM</v>
          </cell>
          <cell r="H2972">
            <v>111.1111111111111</v>
          </cell>
          <cell r="I2972">
            <v>13968.852824912519</v>
          </cell>
        </row>
        <row r="2973">
          <cell r="A2973">
            <v>45323</v>
          </cell>
          <cell r="B2973" t="str">
            <v>Khalid Karmastaji</v>
          </cell>
          <cell r="E2973" t="str">
            <v>AUH</v>
          </cell>
          <cell r="F2973" t="str">
            <v>D</v>
          </cell>
          <cell r="H2973">
            <v>0</v>
          </cell>
          <cell r="I2973">
            <v>249808</v>
          </cell>
        </row>
        <row r="2974">
          <cell r="A2974">
            <v>45323</v>
          </cell>
          <cell r="B2974" t="str">
            <v>Ammar Alqudsi</v>
          </cell>
          <cell r="E2974" t="str">
            <v>AUH</v>
          </cell>
          <cell r="F2974" t="str">
            <v>AM</v>
          </cell>
          <cell r="H2974">
            <v>0</v>
          </cell>
          <cell r="I2974">
            <v>50000</v>
          </cell>
        </row>
        <row r="2975">
          <cell r="A2975">
            <v>45323</v>
          </cell>
          <cell r="B2975" t="str">
            <v>Khamis Almakrani</v>
          </cell>
          <cell r="E2975" t="str">
            <v>AUH</v>
          </cell>
          <cell r="F2975" t="str">
            <v>AM</v>
          </cell>
          <cell r="H2975">
            <v>0</v>
          </cell>
          <cell r="I2975">
            <v>40000</v>
          </cell>
        </row>
        <row r="2976">
          <cell r="A2976">
            <v>45323</v>
          </cell>
          <cell r="B2976" t="str">
            <v>Muhammad Nauman Khan</v>
          </cell>
          <cell r="E2976" t="str">
            <v>AUH</v>
          </cell>
          <cell r="F2976" t="str">
            <v>AM</v>
          </cell>
          <cell r="H2976">
            <v>0</v>
          </cell>
          <cell r="I2976">
            <v>57000</v>
          </cell>
        </row>
        <row r="2977">
          <cell r="A2977">
            <v>45323</v>
          </cell>
          <cell r="B2977" t="str">
            <v>Omar AlHammadi</v>
          </cell>
          <cell r="E2977" t="str">
            <v>AUH</v>
          </cell>
          <cell r="F2977" t="str">
            <v>AM</v>
          </cell>
          <cell r="H2977">
            <v>0</v>
          </cell>
          <cell r="I2977">
            <v>40000</v>
          </cell>
        </row>
        <row r="2978">
          <cell r="A2978">
            <v>45323</v>
          </cell>
          <cell r="B2978" t="str">
            <v>Tarek Solh</v>
          </cell>
          <cell r="E2978" t="str">
            <v>AUH</v>
          </cell>
          <cell r="F2978" t="str">
            <v>AM</v>
          </cell>
          <cell r="H2978">
            <v>0</v>
          </cell>
          <cell r="I2978">
            <v>62808</v>
          </cell>
        </row>
        <row r="2979">
          <cell r="A2979">
            <v>45323</v>
          </cell>
          <cell r="B2979" t="str">
            <v>Mohamad Amer Sibai</v>
          </cell>
          <cell r="E2979" t="str">
            <v>DXB</v>
          </cell>
          <cell r="F2979" t="str">
            <v>D</v>
          </cell>
          <cell r="H2979">
            <v>0</v>
          </cell>
          <cell r="I2979">
            <v>128440</v>
          </cell>
        </row>
        <row r="2980">
          <cell r="A2980">
            <v>45323</v>
          </cell>
          <cell r="B2980" t="str">
            <v>Ali AlZarooni</v>
          </cell>
          <cell r="E2980" t="str">
            <v>DXB</v>
          </cell>
          <cell r="F2980" t="str">
            <v>AM</v>
          </cell>
          <cell r="H2980">
            <v>0</v>
          </cell>
          <cell r="I2980">
            <v>6940</v>
          </cell>
        </row>
        <row r="2981">
          <cell r="A2981">
            <v>45323</v>
          </cell>
          <cell r="B2981" t="str">
            <v>Humaid Al Ali</v>
          </cell>
          <cell r="E2981" t="str">
            <v>DXB</v>
          </cell>
          <cell r="F2981" t="str">
            <v>AM</v>
          </cell>
          <cell r="H2981">
            <v>0</v>
          </cell>
          <cell r="I2981">
            <v>13000</v>
          </cell>
        </row>
        <row r="2982">
          <cell r="A2982">
            <v>45323</v>
          </cell>
          <cell r="B2982" t="str">
            <v>Mohamed Mady</v>
          </cell>
          <cell r="E2982" t="str">
            <v>DXB</v>
          </cell>
          <cell r="F2982" t="str">
            <v>AM</v>
          </cell>
          <cell r="H2982">
            <v>0</v>
          </cell>
          <cell r="I2982">
            <v>26500</v>
          </cell>
        </row>
        <row r="2983">
          <cell r="A2983">
            <v>45323</v>
          </cell>
          <cell r="B2983" t="str">
            <v>Ramzi Gholmieh</v>
          </cell>
          <cell r="E2983" t="str">
            <v>DXB</v>
          </cell>
          <cell r="F2983" t="str">
            <v>AM</v>
          </cell>
          <cell r="H2983">
            <v>0</v>
          </cell>
          <cell r="I2983">
            <v>60000</v>
          </cell>
        </row>
        <row r="2984">
          <cell r="A2984">
            <v>45323</v>
          </cell>
          <cell r="B2984" t="str">
            <v>Talal Ahmed Ali Alsharhan</v>
          </cell>
          <cell r="E2984" t="str">
            <v>DXB</v>
          </cell>
          <cell r="F2984" t="str">
            <v>AM</v>
          </cell>
          <cell r="H2984">
            <v>0</v>
          </cell>
          <cell r="I2984">
            <v>7000</v>
          </cell>
        </row>
        <row r="2985">
          <cell r="A2985">
            <v>45323</v>
          </cell>
          <cell r="B2985" t="str">
            <v>Tariq AlAwadhi</v>
          </cell>
          <cell r="E2985" t="str">
            <v>DXB</v>
          </cell>
          <cell r="F2985" t="str">
            <v>AM</v>
          </cell>
          <cell r="H2985">
            <v>0</v>
          </cell>
          <cell r="I2985">
            <v>15000</v>
          </cell>
        </row>
        <row r="2986">
          <cell r="A2986">
            <v>45323</v>
          </cell>
          <cell r="B2986" t="str">
            <v>Khaled Alawadi</v>
          </cell>
          <cell r="E2986" t="str">
            <v>F-NE</v>
          </cell>
          <cell r="F2986" t="str">
            <v>D</v>
          </cell>
          <cell r="H2986">
            <v>0</v>
          </cell>
          <cell r="I2986">
            <v>51774.664335418216</v>
          </cell>
        </row>
        <row r="2987">
          <cell r="A2987">
            <v>45323</v>
          </cell>
          <cell r="B2987" t="str">
            <v>Bader Al Shehhi</v>
          </cell>
          <cell r="E2987" t="str">
            <v>F-NE</v>
          </cell>
          <cell r="F2987" t="str">
            <v>AM</v>
          </cell>
          <cell r="H2987">
            <v>0</v>
          </cell>
          <cell r="I2987">
            <v>7000</v>
          </cell>
        </row>
        <row r="2988">
          <cell r="A2988">
            <v>45323</v>
          </cell>
          <cell r="B2988" t="str">
            <v>Bashar Al Adilee</v>
          </cell>
          <cell r="E2988" t="str">
            <v>F-NE</v>
          </cell>
          <cell r="F2988" t="str">
            <v>AM</v>
          </cell>
          <cell r="H2988">
            <v>0</v>
          </cell>
          <cell r="I2988">
            <v>15000</v>
          </cell>
        </row>
        <row r="2989">
          <cell r="A2989">
            <v>45323</v>
          </cell>
          <cell r="B2989" t="str">
            <v>Khalid Mohammed</v>
          </cell>
          <cell r="E2989" t="str">
            <v>F-NE</v>
          </cell>
          <cell r="F2989" t="str">
            <v>AM</v>
          </cell>
          <cell r="H2989">
            <v>0</v>
          </cell>
          <cell r="I2989">
            <v>5750</v>
          </cell>
        </row>
        <row r="2990">
          <cell r="A2990">
            <v>45323</v>
          </cell>
          <cell r="B2990" t="str">
            <v>Majd Nairoukh</v>
          </cell>
          <cell r="E2990" t="str">
            <v>F-NE</v>
          </cell>
          <cell r="F2990" t="str">
            <v>AM</v>
          </cell>
          <cell r="H2990">
            <v>0</v>
          </cell>
          <cell r="I2990">
            <v>11275</v>
          </cell>
        </row>
        <row r="2991">
          <cell r="A2991">
            <v>45323</v>
          </cell>
          <cell r="B2991" t="str">
            <v>Nader AlMustafa</v>
          </cell>
          <cell r="E2991" t="str">
            <v>F-NE</v>
          </cell>
          <cell r="F2991" t="str">
            <v>AM</v>
          </cell>
          <cell r="H2991">
            <v>0</v>
          </cell>
          <cell r="I2991">
            <v>5750</v>
          </cell>
        </row>
        <row r="2992">
          <cell r="A2992">
            <v>45323</v>
          </cell>
          <cell r="B2992" t="str">
            <v>Yousef Al Baloushi</v>
          </cell>
          <cell r="E2992" t="str">
            <v>F-NE</v>
          </cell>
          <cell r="F2992" t="str">
            <v>AM</v>
          </cell>
          <cell r="H2992">
            <v>0</v>
          </cell>
          <cell r="I2992">
            <v>7000</v>
          </cell>
        </row>
        <row r="2993">
          <cell r="A2993">
            <v>45323</v>
          </cell>
          <cell r="B2993" t="str">
            <v>Mazen Adem</v>
          </cell>
          <cell r="E2993" t="str">
            <v>FOGH</v>
          </cell>
          <cell r="F2993" t="str">
            <v>D</v>
          </cell>
          <cell r="H2993">
            <v>1279</v>
          </cell>
          <cell r="I2993">
            <v>359023</v>
          </cell>
        </row>
        <row r="2994">
          <cell r="A2994">
            <v>45323</v>
          </cell>
          <cell r="B2994" t="str">
            <v>Abdel Azim Sharabati</v>
          </cell>
          <cell r="E2994" t="str">
            <v>FOGH</v>
          </cell>
          <cell r="F2994" t="str">
            <v>AM</v>
          </cell>
          <cell r="H2994">
            <v>70</v>
          </cell>
          <cell r="I2994">
            <v>45000</v>
          </cell>
        </row>
        <row r="2995">
          <cell r="A2995">
            <v>45323</v>
          </cell>
          <cell r="B2995" t="str">
            <v>Abraham Cherian</v>
          </cell>
          <cell r="E2995" t="str">
            <v>FOGH</v>
          </cell>
          <cell r="F2995" t="str">
            <v>AM</v>
          </cell>
          <cell r="H2995">
            <v>133</v>
          </cell>
          <cell r="I2995">
            <v>47000</v>
          </cell>
        </row>
        <row r="2996">
          <cell r="A2996">
            <v>45323</v>
          </cell>
          <cell r="B2996" t="str">
            <v>Arjun Subaraman</v>
          </cell>
          <cell r="E2996" t="str">
            <v>FOGH</v>
          </cell>
          <cell r="F2996" t="str">
            <v>AM</v>
          </cell>
          <cell r="H2996">
            <v>133</v>
          </cell>
          <cell r="I2996">
            <v>28000</v>
          </cell>
        </row>
        <row r="2997">
          <cell r="A2997">
            <v>45323</v>
          </cell>
          <cell r="B2997" t="str">
            <v>Ghassan Fouany</v>
          </cell>
          <cell r="E2997" t="str">
            <v>FOGH</v>
          </cell>
          <cell r="F2997" t="str">
            <v>AM</v>
          </cell>
          <cell r="H2997">
            <v>133</v>
          </cell>
          <cell r="I2997">
            <v>28000</v>
          </cell>
        </row>
        <row r="2998">
          <cell r="A2998">
            <v>45323</v>
          </cell>
          <cell r="B2998" t="str">
            <v>Inayat Fazili</v>
          </cell>
          <cell r="E2998" t="str">
            <v>FOGH</v>
          </cell>
          <cell r="F2998" t="str">
            <v>AM</v>
          </cell>
          <cell r="H2998">
            <v>90</v>
          </cell>
          <cell r="I2998">
            <v>47000</v>
          </cell>
        </row>
        <row r="2999">
          <cell r="A2999">
            <v>45323</v>
          </cell>
          <cell r="B2999" t="str">
            <v>Jalal Ismail</v>
          </cell>
          <cell r="E2999" t="str">
            <v>FOGH</v>
          </cell>
          <cell r="F2999" t="str">
            <v>AM</v>
          </cell>
          <cell r="H2999">
            <v>133</v>
          </cell>
          <cell r="I2999">
            <v>47000</v>
          </cell>
        </row>
        <row r="3000">
          <cell r="A3000">
            <v>45323</v>
          </cell>
          <cell r="B3000" t="str">
            <v>Mohamed Mostafa</v>
          </cell>
          <cell r="E3000" t="str">
            <v>FOGH</v>
          </cell>
          <cell r="F3000" t="str">
            <v>AM</v>
          </cell>
          <cell r="H3000">
            <v>133</v>
          </cell>
          <cell r="I3000">
            <v>29000</v>
          </cell>
        </row>
        <row r="3001">
          <cell r="A3001">
            <v>45323</v>
          </cell>
          <cell r="B3001" t="str">
            <v>Mohd Sheikh Salem</v>
          </cell>
          <cell r="E3001" t="str">
            <v>FOGH</v>
          </cell>
          <cell r="F3001" t="str">
            <v>AM</v>
          </cell>
          <cell r="H3001">
            <v>188</v>
          </cell>
          <cell r="I3001">
            <v>24023</v>
          </cell>
        </row>
        <row r="3002">
          <cell r="A3002">
            <v>45323</v>
          </cell>
          <cell r="B3002" t="str">
            <v>Nadeem Rasheed</v>
          </cell>
          <cell r="E3002" t="str">
            <v>FOGH</v>
          </cell>
          <cell r="F3002" t="str">
            <v>AM</v>
          </cell>
          <cell r="H3002">
            <v>133</v>
          </cell>
          <cell r="I3002">
            <v>35000</v>
          </cell>
        </row>
        <row r="3003">
          <cell r="A3003">
            <v>45323</v>
          </cell>
          <cell r="B3003" t="str">
            <v>Ramy Abdel Fattah</v>
          </cell>
          <cell r="E3003" t="str">
            <v>FOGH</v>
          </cell>
          <cell r="F3003" t="str">
            <v>AM</v>
          </cell>
          <cell r="H3003">
            <v>133</v>
          </cell>
          <cell r="I3003">
            <v>29000</v>
          </cell>
        </row>
        <row r="3004">
          <cell r="A3004">
            <v>45323</v>
          </cell>
          <cell r="B3004" t="str">
            <v>Mohamed AlZarooni</v>
          </cell>
          <cell r="E3004" t="str">
            <v>HUNT</v>
          </cell>
          <cell r="F3004" t="str">
            <v>D</v>
          </cell>
          <cell r="H3004">
            <v>300</v>
          </cell>
          <cell r="I3004">
            <v>105318.98192935383</v>
          </cell>
        </row>
        <row r="3005">
          <cell r="A3005">
            <v>45323</v>
          </cell>
          <cell r="B3005" t="str">
            <v>Adnan Bashir</v>
          </cell>
          <cell r="E3005" t="str">
            <v>HUNT</v>
          </cell>
          <cell r="F3005" t="str">
            <v>AM</v>
          </cell>
          <cell r="H3005">
            <v>60</v>
          </cell>
          <cell r="I3005">
            <v>23829.75</v>
          </cell>
        </row>
        <row r="3006">
          <cell r="A3006">
            <v>45323</v>
          </cell>
          <cell r="B3006" t="str">
            <v>Ammar Aladily</v>
          </cell>
          <cell r="E3006" t="str">
            <v>HUNT</v>
          </cell>
          <cell r="F3006" t="str">
            <v>AM</v>
          </cell>
          <cell r="H3006">
            <v>60</v>
          </cell>
          <cell r="I3006">
            <v>23829.75</v>
          </cell>
        </row>
        <row r="3007">
          <cell r="A3007">
            <v>45323</v>
          </cell>
          <cell r="B3007" t="str">
            <v>Favas Kurinhilayil</v>
          </cell>
          <cell r="E3007" t="str">
            <v>HUNT</v>
          </cell>
          <cell r="F3007" t="str">
            <v>AM</v>
          </cell>
          <cell r="H3007">
            <v>60</v>
          </cell>
          <cell r="I3007">
            <v>23829.75</v>
          </cell>
        </row>
        <row r="3008">
          <cell r="A3008">
            <v>45323</v>
          </cell>
          <cell r="B3008" t="str">
            <v>Othman Hassan</v>
          </cell>
          <cell r="E3008" t="str">
            <v>HUNT</v>
          </cell>
          <cell r="F3008" t="str">
            <v>AM</v>
          </cell>
          <cell r="H3008">
            <v>60</v>
          </cell>
          <cell r="I3008">
            <v>23829.75</v>
          </cell>
        </row>
        <row r="3009">
          <cell r="A3009">
            <v>45323</v>
          </cell>
          <cell r="B3009" t="str">
            <v>Anastasia Maltseva</v>
          </cell>
          <cell r="E3009" t="str">
            <v>HUNT</v>
          </cell>
          <cell r="F3009" t="str">
            <v>AM</v>
          </cell>
          <cell r="H3009">
            <v>60</v>
          </cell>
          <cell r="I3009">
            <v>10000</v>
          </cell>
        </row>
        <row r="3010">
          <cell r="A3010">
            <v>45323</v>
          </cell>
          <cell r="B3010" t="str">
            <v>Hany Jawee</v>
          </cell>
          <cell r="E3010" t="str">
            <v>TRE</v>
          </cell>
          <cell r="F3010" t="str">
            <v>D</v>
          </cell>
          <cell r="H3010">
            <v>1003</v>
          </cell>
          <cell r="I3010">
            <v>279282.38337899104</v>
          </cell>
        </row>
        <row r="3011">
          <cell r="A3011">
            <v>45323</v>
          </cell>
          <cell r="B3011" t="str">
            <v>Ahmad Ozdamir</v>
          </cell>
          <cell r="E3011" t="str">
            <v>TRE</v>
          </cell>
          <cell r="F3011" t="str">
            <v>AM</v>
          </cell>
          <cell r="H3011">
            <v>130</v>
          </cell>
          <cell r="I3011">
            <v>31355.981789301299</v>
          </cell>
        </row>
        <row r="3012">
          <cell r="A3012">
            <v>45323</v>
          </cell>
          <cell r="B3012" t="str">
            <v>Amjad Ilwan</v>
          </cell>
          <cell r="E3012" t="str">
            <v>TRE</v>
          </cell>
          <cell r="F3012" t="str">
            <v>AM</v>
          </cell>
          <cell r="H3012">
            <v>130</v>
          </cell>
          <cell r="I3012">
            <v>31560.4744324846</v>
          </cell>
        </row>
        <row r="3013">
          <cell r="A3013">
            <v>45323</v>
          </cell>
          <cell r="B3013" t="str">
            <v>Ehab Hajou</v>
          </cell>
          <cell r="E3013" t="str">
            <v>TRE</v>
          </cell>
          <cell r="F3013" t="str">
            <v>AM</v>
          </cell>
          <cell r="H3013">
            <v>80</v>
          </cell>
          <cell r="I3013">
            <v>32158.981789301299</v>
          </cell>
        </row>
        <row r="3014">
          <cell r="A3014">
            <v>45323</v>
          </cell>
          <cell r="B3014" t="str">
            <v>Fadi Saleh</v>
          </cell>
          <cell r="E3014" t="str">
            <v>TRE</v>
          </cell>
          <cell r="F3014" t="str">
            <v>AM</v>
          </cell>
          <cell r="H3014">
            <v>75</v>
          </cell>
          <cell r="I3014">
            <v>26000</v>
          </cell>
        </row>
        <row r="3015">
          <cell r="A3015">
            <v>45323</v>
          </cell>
          <cell r="B3015" t="str">
            <v>Majid Abdulla</v>
          </cell>
          <cell r="E3015" t="str">
            <v>TRE</v>
          </cell>
          <cell r="F3015" t="str">
            <v>AM</v>
          </cell>
          <cell r="H3015">
            <v>63</v>
          </cell>
          <cell r="I3015">
            <v>20000</v>
          </cell>
        </row>
        <row r="3016">
          <cell r="A3016">
            <v>45323</v>
          </cell>
          <cell r="B3016" t="str">
            <v>Mehfooz Mir</v>
          </cell>
          <cell r="E3016" t="str">
            <v>TRE</v>
          </cell>
          <cell r="F3016" t="str">
            <v>AM</v>
          </cell>
          <cell r="H3016">
            <v>115</v>
          </cell>
          <cell r="I3016">
            <v>25602.981789301299</v>
          </cell>
        </row>
        <row r="3017">
          <cell r="A3017">
            <v>45323</v>
          </cell>
          <cell r="B3017" t="str">
            <v>Mostafa Mekawy</v>
          </cell>
          <cell r="E3017" t="str">
            <v>TRE</v>
          </cell>
          <cell r="F3017" t="str">
            <v>AM</v>
          </cell>
          <cell r="H3017">
            <v>125</v>
          </cell>
          <cell r="I3017">
            <v>26602.981789301299</v>
          </cell>
        </row>
        <row r="3018">
          <cell r="A3018">
            <v>45323</v>
          </cell>
          <cell r="B3018" t="str">
            <v>Rijith Menon</v>
          </cell>
          <cell r="E3018" t="str">
            <v>TRE</v>
          </cell>
          <cell r="F3018" t="str">
            <v>AM</v>
          </cell>
          <cell r="H3018">
            <v>125</v>
          </cell>
          <cell r="I3018">
            <v>25000</v>
          </cell>
        </row>
        <row r="3019">
          <cell r="A3019">
            <v>45323</v>
          </cell>
          <cell r="B3019" t="str">
            <v>Suleiman Wanni</v>
          </cell>
          <cell r="E3019" t="str">
            <v>TRE</v>
          </cell>
          <cell r="F3019" t="str">
            <v>AM</v>
          </cell>
          <cell r="H3019">
            <v>100</v>
          </cell>
          <cell r="I3019">
            <v>31000.981789301299</v>
          </cell>
        </row>
        <row r="3020">
          <cell r="A3020">
            <v>45323</v>
          </cell>
          <cell r="B3020" t="str">
            <v>Waseem Suhaf</v>
          </cell>
          <cell r="E3020" t="str">
            <v>TRE</v>
          </cell>
          <cell r="F3020" t="str">
            <v>AM</v>
          </cell>
          <cell r="H3020">
            <v>60</v>
          </cell>
          <cell r="I3020">
            <v>30000</v>
          </cell>
        </row>
        <row r="3021">
          <cell r="A3021">
            <v>45323</v>
          </cell>
          <cell r="B3021" t="str">
            <v>Muhammad Shahzad Hasan</v>
          </cell>
          <cell r="E3021" t="str">
            <v>TRM</v>
          </cell>
          <cell r="F3021" t="str">
            <v>D</v>
          </cell>
          <cell r="H3021">
            <v>984</v>
          </cell>
          <cell r="I3021">
            <v>137352.53365258724</v>
          </cell>
        </row>
        <row r="3022">
          <cell r="A3022">
            <v>45323</v>
          </cell>
          <cell r="B3022" t="str">
            <v>Abdulghaffar Alkhaja</v>
          </cell>
          <cell r="E3022" t="str">
            <v>TRM</v>
          </cell>
          <cell r="F3022" t="str">
            <v>AM</v>
          </cell>
          <cell r="H3022">
            <v>109.28961748633878</v>
          </cell>
          <cell r="I3022">
            <v>10551</v>
          </cell>
        </row>
        <row r="3023">
          <cell r="A3023">
            <v>45323</v>
          </cell>
          <cell r="B3023" t="str">
            <v>Eslam Hassan</v>
          </cell>
          <cell r="E3023" t="str">
            <v>TRM</v>
          </cell>
          <cell r="F3023" t="str">
            <v>AM</v>
          </cell>
          <cell r="H3023">
            <v>109.28961748633878</v>
          </cell>
          <cell r="I3023">
            <v>15850</v>
          </cell>
        </row>
        <row r="3024">
          <cell r="A3024">
            <v>45323</v>
          </cell>
          <cell r="B3024" t="str">
            <v>Khaled Abdelaziz</v>
          </cell>
          <cell r="E3024" t="str">
            <v>TRM</v>
          </cell>
          <cell r="F3024" t="str">
            <v>AM</v>
          </cell>
          <cell r="H3024">
            <v>109.28961748633878</v>
          </cell>
          <cell r="I3024">
            <v>15850</v>
          </cell>
        </row>
        <row r="3025">
          <cell r="A3025">
            <v>45323</v>
          </cell>
          <cell r="B3025" t="str">
            <v>Mohamad Labban</v>
          </cell>
          <cell r="E3025" t="str">
            <v>TRM</v>
          </cell>
          <cell r="F3025" t="str">
            <v>AM</v>
          </cell>
          <cell r="H3025">
            <v>109.28961748633878</v>
          </cell>
          <cell r="I3025">
            <v>15851</v>
          </cell>
        </row>
        <row r="3026">
          <cell r="A3026">
            <v>45323</v>
          </cell>
          <cell r="B3026" t="str">
            <v>Mohamed Kishk</v>
          </cell>
          <cell r="E3026" t="str">
            <v>TRM</v>
          </cell>
          <cell r="F3026" t="str">
            <v>AM</v>
          </cell>
          <cell r="H3026">
            <v>109.28961748633878</v>
          </cell>
          <cell r="I3026">
            <v>15851</v>
          </cell>
        </row>
        <row r="3027">
          <cell r="A3027">
            <v>45323</v>
          </cell>
          <cell r="B3027" t="str">
            <v>Mushahid Hussain Syed</v>
          </cell>
          <cell r="E3027" t="str">
            <v>TRM</v>
          </cell>
          <cell r="F3027" t="str">
            <v>AM</v>
          </cell>
          <cell r="H3027">
            <v>109.28961748633878</v>
          </cell>
          <cell r="I3027">
            <v>15850</v>
          </cell>
        </row>
        <row r="3028">
          <cell r="A3028">
            <v>45323</v>
          </cell>
          <cell r="B3028" t="str">
            <v>Peter Sedrak</v>
          </cell>
          <cell r="E3028" t="str">
            <v>TRM</v>
          </cell>
          <cell r="F3028" t="str">
            <v>AM</v>
          </cell>
          <cell r="H3028">
            <v>109.28961748633878</v>
          </cell>
          <cell r="I3028">
            <v>15850</v>
          </cell>
        </row>
        <row r="3029">
          <cell r="A3029">
            <v>45323</v>
          </cell>
          <cell r="B3029" t="str">
            <v>Simon Williams</v>
          </cell>
          <cell r="E3029" t="str">
            <v>TRM</v>
          </cell>
          <cell r="F3029" t="str">
            <v>AM</v>
          </cell>
          <cell r="H3029">
            <v>109.28961748633878</v>
          </cell>
          <cell r="I3029">
            <v>15850</v>
          </cell>
        </row>
        <row r="3030">
          <cell r="A3030">
            <v>45323</v>
          </cell>
          <cell r="B3030" t="str">
            <v>Shabbir Lacewala</v>
          </cell>
          <cell r="E3030" t="str">
            <v>TRM</v>
          </cell>
          <cell r="F3030" t="str">
            <v>AM</v>
          </cell>
          <cell r="H3030">
            <v>109.28961748633878</v>
          </cell>
          <cell r="I3030">
            <v>15850</v>
          </cell>
        </row>
        <row r="3031">
          <cell r="A3031">
            <v>45352</v>
          </cell>
          <cell r="B3031" t="str">
            <v>Khalid Karmastaji</v>
          </cell>
          <cell r="E3031" t="str">
            <v>AUH</v>
          </cell>
          <cell r="F3031" t="str">
            <v>D</v>
          </cell>
          <cell r="H3031">
            <v>0</v>
          </cell>
          <cell r="I3031">
            <v>322235</v>
          </cell>
        </row>
        <row r="3032">
          <cell r="A3032">
            <v>45352</v>
          </cell>
          <cell r="B3032" t="str">
            <v>Ammar Alqudsi</v>
          </cell>
          <cell r="E3032" t="str">
            <v>AUH</v>
          </cell>
          <cell r="F3032" t="str">
            <v>AM</v>
          </cell>
          <cell r="H3032">
            <v>0</v>
          </cell>
          <cell r="I3032">
            <v>62000</v>
          </cell>
        </row>
        <row r="3033">
          <cell r="A3033">
            <v>45352</v>
          </cell>
          <cell r="B3033" t="str">
            <v>Khamis Almakrani</v>
          </cell>
          <cell r="E3033" t="str">
            <v>AUH</v>
          </cell>
          <cell r="F3033" t="str">
            <v>AM</v>
          </cell>
          <cell r="H3033">
            <v>0</v>
          </cell>
          <cell r="I3033">
            <v>63000</v>
          </cell>
        </row>
        <row r="3034">
          <cell r="A3034">
            <v>45352</v>
          </cell>
          <cell r="B3034" t="str">
            <v>Muhammad Nauman Khan</v>
          </cell>
          <cell r="E3034" t="str">
            <v>AUH</v>
          </cell>
          <cell r="F3034" t="str">
            <v>AM</v>
          </cell>
          <cell r="H3034">
            <v>0</v>
          </cell>
          <cell r="I3034">
            <v>74000</v>
          </cell>
        </row>
        <row r="3035">
          <cell r="A3035">
            <v>45352</v>
          </cell>
          <cell r="B3035" t="str">
            <v>Omar AlHammadi</v>
          </cell>
          <cell r="E3035" t="str">
            <v>AUH</v>
          </cell>
          <cell r="F3035" t="str">
            <v>AM</v>
          </cell>
          <cell r="H3035">
            <v>0</v>
          </cell>
          <cell r="I3035">
            <v>60000</v>
          </cell>
        </row>
        <row r="3036">
          <cell r="A3036">
            <v>45352</v>
          </cell>
          <cell r="B3036" t="str">
            <v>Tarek Solh</v>
          </cell>
          <cell r="E3036" t="str">
            <v>AUH</v>
          </cell>
          <cell r="F3036" t="str">
            <v>AM</v>
          </cell>
          <cell r="H3036">
            <v>0</v>
          </cell>
          <cell r="I3036">
            <v>63235</v>
          </cell>
        </row>
        <row r="3037">
          <cell r="A3037">
            <v>45352</v>
          </cell>
          <cell r="B3037" t="str">
            <v>Mohamad Amer Sibai</v>
          </cell>
          <cell r="E3037" t="str">
            <v>DXB</v>
          </cell>
          <cell r="F3037" t="str">
            <v>D</v>
          </cell>
          <cell r="H3037">
            <v>0</v>
          </cell>
          <cell r="I3037">
            <v>169211</v>
          </cell>
        </row>
        <row r="3038">
          <cell r="A3038">
            <v>45352</v>
          </cell>
          <cell r="B3038" t="str">
            <v>Ali Alzarooni</v>
          </cell>
          <cell r="E3038" t="str">
            <v>DXB</v>
          </cell>
          <cell r="F3038" t="str">
            <v>AM</v>
          </cell>
          <cell r="H3038">
            <v>0</v>
          </cell>
          <cell r="I3038">
            <v>7211</v>
          </cell>
        </row>
        <row r="3039">
          <cell r="A3039">
            <v>45352</v>
          </cell>
          <cell r="B3039" t="str">
            <v>Humaid Al Ali</v>
          </cell>
          <cell r="E3039" t="str">
            <v>DXB</v>
          </cell>
          <cell r="F3039" t="str">
            <v>AM</v>
          </cell>
          <cell r="H3039">
            <v>0</v>
          </cell>
          <cell r="I3039">
            <v>7000</v>
          </cell>
        </row>
        <row r="3040">
          <cell r="A3040">
            <v>45352</v>
          </cell>
          <cell r="B3040" t="str">
            <v>Mohamed Mady</v>
          </cell>
          <cell r="E3040" t="str">
            <v>DXB</v>
          </cell>
          <cell r="F3040" t="str">
            <v>AM</v>
          </cell>
          <cell r="H3040">
            <v>0</v>
          </cell>
          <cell r="I3040">
            <v>35000</v>
          </cell>
        </row>
        <row r="3041">
          <cell r="A3041">
            <v>45352</v>
          </cell>
          <cell r="B3041" t="str">
            <v>Ramzi Gholmieh</v>
          </cell>
          <cell r="E3041" t="str">
            <v>DXB</v>
          </cell>
          <cell r="F3041" t="str">
            <v>AM</v>
          </cell>
          <cell r="H3041">
            <v>0</v>
          </cell>
          <cell r="I3041">
            <v>52000</v>
          </cell>
        </row>
        <row r="3042">
          <cell r="A3042">
            <v>45352</v>
          </cell>
          <cell r="B3042" t="str">
            <v>Talal Ahmed Ali Alsharhan</v>
          </cell>
          <cell r="E3042" t="str">
            <v>DXB</v>
          </cell>
          <cell r="F3042" t="str">
            <v>AM</v>
          </cell>
          <cell r="H3042">
            <v>0</v>
          </cell>
          <cell r="I3042">
            <v>60000</v>
          </cell>
        </row>
        <row r="3043">
          <cell r="A3043">
            <v>45352</v>
          </cell>
          <cell r="B3043" t="str">
            <v>Tariq AlAwadhi</v>
          </cell>
          <cell r="E3043" t="str">
            <v>DXB</v>
          </cell>
          <cell r="F3043" t="str">
            <v>AM</v>
          </cell>
          <cell r="H3043">
            <v>0</v>
          </cell>
          <cell r="I3043">
            <v>8000</v>
          </cell>
        </row>
        <row r="3044">
          <cell r="A3044">
            <v>45352</v>
          </cell>
          <cell r="B3044" t="str">
            <v>Khaled Alawadi</v>
          </cell>
          <cell r="E3044" t="str">
            <v>F-NE</v>
          </cell>
          <cell r="F3044" t="str">
            <v>D</v>
          </cell>
          <cell r="H3044">
            <v>0</v>
          </cell>
          <cell r="I3044">
            <v>50680</v>
          </cell>
        </row>
        <row r="3045">
          <cell r="A3045">
            <v>45352</v>
          </cell>
          <cell r="B3045" t="str">
            <v>Bader Al Shehhi</v>
          </cell>
          <cell r="E3045" t="str">
            <v>F-NE</v>
          </cell>
          <cell r="F3045" t="str">
            <v>AM</v>
          </cell>
          <cell r="H3045">
            <v>0</v>
          </cell>
          <cell r="I3045">
            <v>7100</v>
          </cell>
        </row>
        <row r="3046">
          <cell r="A3046">
            <v>45352</v>
          </cell>
          <cell r="B3046" t="str">
            <v>Bashar Al Adilee</v>
          </cell>
          <cell r="E3046" t="str">
            <v>F-NE</v>
          </cell>
          <cell r="F3046" t="str">
            <v>AM</v>
          </cell>
          <cell r="H3046">
            <v>0</v>
          </cell>
          <cell r="I3046">
            <v>16000</v>
          </cell>
        </row>
        <row r="3047">
          <cell r="A3047">
            <v>45352</v>
          </cell>
          <cell r="B3047" t="str">
            <v>Khalid Mohammed</v>
          </cell>
          <cell r="E3047" t="str">
            <v>F-NE</v>
          </cell>
          <cell r="F3047" t="str">
            <v>AM</v>
          </cell>
          <cell r="H3047">
            <v>0</v>
          </cell>
          <cell r="I3047">
            <v>7100</v>
          </cell>
        </row>
        <row r="3048">
          <cell r="A3048">
            <v>45352</v>
          </cell>
          <cell r="B3048" t="str">
            <v>Majd Nairoukh</v>
          </cell>
          <cell r="E3048" t="str">
            <v>F-NE</v>
          </cell>
          <cell r="F3048" t="str">
            <v>AM</v>
          </cell>
          <cell r="H3048">
            <v>0</v>
          </cell>
          <cell r="I3048">
            <v>7380</v>
          </cell>
        </row>
        <row r="3049">
          <cell r="A3049">
            <v>45352</v>
          </cell>
          <cell r="B3049" t="str">
            <v>Nader AlMustafa</v>
          </cell>
          <cell r="E3049" t="str">
            <v>F-NE</v>
          </cell>
          <cell r="F3049" t="str">
            <v>AM</v>
          </cell>
          <cell r="H3049">
            <v>0</v>
          </cell>
          <cell r="I3049">
            <v>6000</v>
          </cell>
        </row>
        <row r="3050">
          <cell r="A3050">
            <v>45352</v>
          </cell>
          <cell r="B3050" t="str">
            <v>Yousef Al Baloushi</v>
          </cell>
          <cell r="E3050" t="str">
            <v>F-NE</v>
          </cell>
          <cell r="F3050" t="str">
            <v>AM</v>
          </cell>
          <cell r="H3050">
            <v>0</v>
          </cell>
          <cell r="I3050">
            <v>7100</v>
          </cell>
        </row>
        <row r="3051">
          <cell r="A3051">
            <v>45352</v>
          </cell>
          <cell r="B3051" t="str">
            <v>Mazen Adem</v>
          </cell>
          <cell r="E3051" t="str">
            <v>FOGH</v>
          </cell>
          <cell r="F3051" t="str">
            <v>D</v>
          </cell>
          <cell r="H3051">
            <v>1137</v>
          </cell>
          <cell r="I3051">
            <v>394942</v>
          </cell>
        </row>
        <row r="3052">
          <cell r="A3052">
            <v>45352</v>
          </cell>
          <cell r="B3052" t="str">
            <v>Abdel Azim Sharabati</v>
          </cell>
          <cell r="E3052" t="str">
            <v>FOGH</v>
          </cell>
          <cell r="F3052" t="str">
            <v>AM</v>
          </cell>
          <cell r="H3052">
            <v>114</v>
          </cell>
          <cell r="I3052">
            <v>37216</v>
          </cell>
        </row>
        <row r="3053">
          <cell r="A3053">
            <v>45352</v>
          </cell>
          <cell r="B3053" t="str">
            <v>Abraham Cherian</v>
          </cell>
          <cell r="E3053" t="str">
            <v>FOGH</v>
          </cell>
          <cell r="F3053" t="str">
            <v>AM</v>
          </cell>
          <cell r="H3053">
            <v>114</v>
          </cell>
          <cell r="I3053">
            <v>60000</v>
          </cell>
        </row>
        <row r="3054">
          <cell r="A3054">
            <v>45352</v>
          </cell>
          <cell r="B3054" t="str">
            <v>Arjun Subaraman</v>
          </cell>
          <cell r="E3054" t="str">
            <v>FOGH</v>
          </cell>
          <cell r="F3054" t="str">
            <v>AM</v>
          </cell>
          <cell r="H3054">
            <v>114</v>
          </cell>
          <cell r="I3054">
            <v>37216</v>
          </cell>
        </row>
        <row r="3055">
          <cell r="A3055">
            <v>45352</v>
          </cell>
          <cell r="B3055" t="str">
            <v>Ghassan Fouany</v>
          </cell>
          <cell r="E3055" t="str">
            <v>FOGH</v>
          </cell>
          <cell r="F3055" t="str">
            <v>AM</v>
          </cell>
          <cell r="H3055">
            <v>114</v>
          </cell>
          <cell r="I3055">
            <v>37216</v>
          </cell>
        </row>
        <row r="3056">
          <cell r="A3056">
            <v>45352</v>
          </cell>
          <cell r="B3056" t="str">
            <v>Inayat Fazili</v>
          </cell>
          <cell r="E3056" t="str">
            <v>FOGH</v>
          </cell>
          <cell r="F3056" t="str">
            <v>AM</v>
          </cell>
          <cell r="H3056">
            <v>114</v>
          </cell>
          <cell r="I3056">
            <v>37216</v>
          </cell>
        </row>
        <row r="3057">
          <cell r="A3057">
            <v>45352</v>
          </cell>
          <cell r="B3057" t="str">
            <v>Jalal Ismail</v>
          </cell>
          <cell r="E3057" t="str">
            <v>FOGH</v>
          </cell>
          <cell r="F3057" t="str">
            <v>AM</v>
          </cell>
          <cell r="H3057">
            <v>114</v>
          </cell>
          <cell r="I3057">
            <v>37216</v>
          </cell>
        </row>
        <row r="3058">
          <cell r="A3058">
            <v>45352</v>
          </cell>
          <cell r="B3058" t="str">
            <v>Mohamed Mostafa</v>
          </cell>
          <cell r="E3058" t="str">
            <v>FOGH</v>
          </cell>
          <cell r="F3058" t="str">
            <v>AM</v>
          </cell>
          <cell r="H3058">
            <v>114</v>
          </cell>
          <cell r="I3058">
            <v>37216</v>
          </cell>
        </row>
        <row r="3059">
          <cell r="A3059">
            <v>45352</v>
          </cell>
          <cell r="B3059" t="str">
            <v>Mohd Sheikh Salem</v>
          </cell>
          <cell r="E3059" t="str">
            <v>FOGH</v>
          </cell>
          <cell r="F3059" t="str">
            <v>AM</v>
          </cell>
          <cell r="H3059">
            <v>114</v>
          </cell>
          <cell r="I3059">
            <v>37216</v>
          </cell>
        </row>
        <row r="3060">
          <cell r="A3060">
            <v>45352</v>
          </cell>
          <cell r="B3060" t="str">
            <v>Nadeem Rasheed</v>
          </cell>
          <cell r="E3060" t="str">
            <v>FOGH</v>
          </cell>
          <cell r="F3060" t="str">
            <v>AM</v>
          </cell>
          <cell r="H3060">
            <v>114</v>
          </cell>
          <cell r="I3060">
            <v>37216</v>
          </cell>
        </row>
        <row r="3061">
          <cell r="A3061">
            <v>45352</v>
          </cell>
          <cell r="B3061" t="str">
            <v>Ramy Abdel Fattah</v>
          </cell>
          <cell r="E3061" t="str">
            <v>FOGH</v>
          </cell>
          <cell r="F3061" t="str">
            <v>AM</v>
          </cell>
          <cell r="H3061">
            <v>114</v>
          </cell>
          <cell r="I3061">
            <v>37216</v>
          </cell>
        </row>
        <row r="3062">
          <cell r="A3062">
            <v>45352</v>
          </cell>
          <cell r="B3062" t="str">
            <v>Mohamed AlZarooni</v>
          </cell>
          <cell r="E3062" t="str">
            <v>HUNT</v>
          </cell>
          <cell r="F3062" t="str">
            <v>D</v>
          </cell>
          <cell r="H3062">
            <v>267</v>
          </cell>
          <cell r="I3062">
            <v>111306</v>
          </cell>
        </row>
        <row r="3063">
          <cell r="A3063">
            <v>45352</v>
          </cell>
          <cell r="B3063" t="str">
            <v>Adnan Bashir</v>
          </cell>
          <cell r="E3063" t="str">
            <v>HUNT</v>
          </cell>
          <cell r="F3063" t="str">
            <v>AM</v>
          </cell>
          <cell r="H3063">
            <v>53.329915706742753</v>
          </cell>
          <cell r="I3063">
            <v>19261</v>
          </cell>
        </row>
        <row r="3064">
          <cell r="A3064">
            <v>45352</v>
          </cell>
          <cell r="B3064" t="str">
            <v>Ammar Aladily</v>
          </cell>
          <cell r="E3064" t="str">
            <v>HUNT</v>
          </cell>
          <cell r="F3064" t="str">
            <v>AM</v>
          </cell>
          <cell r="H3064">
            <v>53.329915706742753</v>
          </cell>
          <cell r="I3064">
            <v>25594</v>
          </cell>
        </row>
        <row r="3065">
          <cell r="A3065">
            <v>45352</v>
          </cell>
          <cell r="B3065" t="str">
            <v>Anastasia Maltseva</v>
          </cell>
          <cell r="E3065" t="str">
            <v>HUNT</v>
          </cell>
          <cell r="F3065" t="str">
            <v>AM</v>
          </cell>
          <cell r="H3065">
            <v>53.329915706742753</v>
          </cell>
          <cell r="I3065">
            <v>15261</v>
          </cell>
        </row>
        <row r="3066">
          <cell r="A3066">
            <v>45352</v>
          </cell>
          <cell r="B3066" t="str">
            <v>Favas Kurinhilayil</v>
          </cell>
          <cell r="E3066" t="str">
            <v>HUNT</v>
          </cell>
          <cell r="F3066" t="str">
            <v>AM</v>
          </cell>
          <cell r="H3066">
            <v>53.329915706742753</v>
          </cell>
          <cell r="I3066">
            <v>25594</v>
          </cell>
        </row>
        <row r="3067">
          <cell r="A3067">
            <v>45352</v>
          </cell>
          <cell r="B3067" t="str">
            <v>Othman Hassan</v>
          </cell>
          <cell r="E3067" t="str">
            <v>HUNT</v>
          </cell>
          <cell r="F3067" t="str">
            <v>AM</v>
          </cell>
          <cell r="H3067">
            <v>53.329915706742753</v>
          </cell>
          <cell r="I3067">
            <v>25596</v>
          </cell>
        </row>
        <row r="3068">
          <cell r="A3068">
            <v>45352</v>
          </cell>
          <cell r="B3068" t="str">
            <v>Hany Jawee</v>
          </cell>
          <cell r="E3068" t="str">
            <v>TRE</v>
          </cell>
          <cell r="F3068" t="str">
            <v>D</v>
          </cell>
          <cell r="H3068">
            <v>928</v>
          </cell>
          <cell r="I3068">
            <v>387243</v>
          </cell>
        </row>
        <row r="3069">
          <cell r="A3069">
            <v>45352</v>
          </cell>
          <cell r="B3069" t="str">
            <v>Ahmad Ozdamir</v>
          </cell>
          <cell r="E3069" t="str">
            <v>TRE</v>
          </cell>
          <cell r="F3069" t="str">
            <v>AM</v>
          </cell>
          <cell r="H3069">
            <v>105</v>
          </cell>
          <cell r="I3069">
            <v>37500</v>
          </cell>
        </row>
        <row r="3070">
          <cell r="A3070">
            <v>45352</v>
          </cell>
          <cell r="B3070" t="str">
            <v>Amjad Ilwan</v>
          </cell>
          <cell r="E3070" t="str">
            <v>TRE</v>
          </cell>
          <cell r="F3070" t="str">
            <v>AM</v>
          </cell>
          <cell r="H3070">
            <v>105</v>
          </cell>
          <cell r="I3070">
            <v>37500</v>
          </cell>
        </row>
        <row r="3071">
          <cell r="A3071">
            <v>45352</v>
          </cell>
          <cell r="B3071" t="str">
            <v>Ehab Hajou</v>
          </cell>
          <cell r="E3071" t="str">
            <v>TRE</v>
          </cell>
          <cell r="F3071" t="str">
            <v>AM</v>
          </cell>
          <cell r="H3071">
            <v>90</v>
          </cell>
          <cell r="I3071">
            <v>38500</v>
          </cell>
        </row>
        <row r="3072">
          <cell r="A3072">
            <v>45352</v>
          </cell>
          <cell r="B3072" t="str">
            <v>Fadi Saleh</v>
          </cell>
          <cell r="E3072" t="str">
            <v>TRE</v>
          </cell>
          <cell r="F3072" t="str">
            <v>AM</v>
          </cell>
          <cell r="H3072">
            <v>80</v>
          </cell>
          <cell r="I3072">
            <v>30000</v>
          </cell>
        </row>
        <row r="3073">
          <cell r="A3073">
            <v>45352</v>
          </cell>
          <cell r="B3073" t="str">
            <v>Majid Abdulla</v>
          </cell>
          <cell r="E3073" t="str">
            <v>TRE</v>
          </cell>
          <cell r="F3073" t="str">
            <v>AM</v>
          </cell>
          <cell r="H3073">
            <v>55</v>
          </cell>
          <cell r="I3073">
            <v>23743</v>
          </cell>
        </row>
        <row r="3074">
          <cell r="A3074">
            <v>45352</v>
          </cell>
          <cell r="B3074" t="str">
            <v>Mehfooz Mir</v>
          </cell>
          <cell r="E3074" t="str">
            <v>TRE</v>
          </cell>
          <cell r="F3074" t="str">
            <v>AM</v>
          </cell>
          <cell r="H3074">
            <v>90</v>
          </cell>
          <cell r="I3074">
            <v>38500</v>
          </cell>
        </row>
        <row r="3075">
          <cell r="A3075">
            <v>45352</v>
          </cell>
          <cell r="B3075" t="str">
            <v>Mostafa Mekawy</v>
          </cell>
          <cell r="E3075" t="str">
            <v>TRE</v>
          </cell>
          <cell r="F3075" t="str">
            <v>AM</v>
          </cell>
          <cell r="H3075">
            <v>105</v>
          </cell>
          <cell r="I3075">
            <v>38500</v>
          </cell>
        </row>
        <row r="3076">
          <cell r="A3076">
            <v>45352</v>
          </cell>
          <cell r="B3076" t="str">
            <v>Rijith Menon</v>
          </cell>
          <cell r="E3076" t="str">
            <v>TRE</v>
          </cell>
          <cell r="F3076" t="str">
            <v>AM</v>
          </cell>
          <cell r="H3076">
            <v>105</v>
          </cell>
          <cell r="I3076">
            <v>38200</v>
          </cell>
        </row>
        <row r="3077">
          <cell r="A3077">
            <v>45352</v>
          </cell>
          <cell r="B3077" t="str">
            <v>Suleiman Wanni</v>
          </cell>
          <cell r="E3077" t="str">
            <v>TRE</v>
          </cell>
          <cell r="F3077" t="str">
            <v>AM</v>
          </cell>
          <cell r="H3077">
            <v>105</v>
          </cell>
          <cell r="I3077">
            <v>38300</v>
          </cell>
        </row>
        <row r="3078">
          <cell r="A3078">
            <v>45352</v>
          </cell>
          <cell r="B3078" t="str">
            <v>Waseem Suhaf</v>
          </cell>
          <cell r="E3078" t="str">
            <v>TRE</v>
          </cell>
          <cell r="F3078" t="str">
            <v>AM</v>
          </cell>
          <cell r="H3078">
            <v>88</v>
          </cell>
          <cell r="I3078">
            <v>66500</v>
          </cell>
        </row>
        <row r="3079">
          <cell r="A3079">
            <v>45352</v>
          </cell>
          <cell r="B3079" t="str">
            <v>Muhammad Shahzad Hasan</v>
          </cell>
          <cell r="E3079" t="str">
            <v>TRM</v>
          </cell>
          <cell r="F3079" t="str">
            <v>D</v>
          </cell>
          <cell r="H3079">
            <v>904</v>
          </cell>
          <cell r="I3079">
            <v>164383</v>
          </cell>
        </row>
        <row r="3080">
          <cell r="A3080">
            <v>45352</v>
          </cell>
          <cell r="B3080" t="str">
            <v>Abdulghaffar Alkhaja</v>
          </cell>
          <cell r="E3080" t="str">
            <v>TRM</v>
          </cell>
          <cell r="F3080" t="str">
            <v>AM</v>
          </cell>
          <cell r="H3080">
            <v>88</v>
          </cell>
          <cell r="I3080">
            <v>17031</v>
          </cell>
        </row>
        <row r="3081">
          <cell r="A3081">
            <v>45352</v>
          </cell>
          <cell r="B3081" t="str">
            <v>Eslam Hassan</v>
          </cell>
          <cell r="E3081" t="str">
            <v>TRM</v>
          </cell>
          <cell r="F3081" t="str">
            <v>AM</v>
          </cell>
          <cell r="H3081">
            <v>88</v>
          </cell>
          <cell r="I3081">
            <v>17031</v>
          </cell>
        </row>
        <row r="3082">
          <cell r="A3082">
            <v>45352</v>
          </cell>
          <cell r="B3082" t="str">
            <v>Khaled Abdelaziz</v>
          </cell>
          <cell r="E3082" t="str">
            <v>TRM</v>
          </cell>
          <cell r="F3082" t="str">
            <v>AM</v>
          </cell>
          <cell r="H3082">
            <v>88</v>
          </cell>
          <cell r="I3082">
            <v>17031</v>
          </cell>
        </row>
        <row r="3083">
          <cell r="A3083">
            <v>45352</v>
          </cell>
          <cell r="B3083" t="str">
            <v>Mohamad Labban</v>
          </cell>
          <cell r="E3083" t="str">
            <v>TRM</v>
          </cell>
          <cell r="F3083" t="str">
            <v>AM</v>
          </cell>
          <cell r="H3083">
            <v>88</v>
          </cell>
          <cell r="I3083">
            <v>17031</v>
          </cell>
        </row>
        <row r="3084">
          <cell r="A3084">
            <v>45352</v>
          </cell>
          <cell r="B3084" t="str">
            <v>Mohamed Kishk</v>
          </cell>
          <cell r="E3084" t="str">
            <v>TRM</v>
          </cell>
          <cell r="F3084" t="str">
            <v>AM</v>
          </cell>
          <cell r="H3084">
            <v>200</v>
          </cell>
          <cell r="I3084">
            <v>26195</v>
          </cell>
        </row>
        <row r="3085">
          <cell r="A3085">
            <v>45352</v>
          </cell>
          <cell r="B3085" t="str">
            <v>Mushahid Hussain Syed</v>
          </cell>
          <cell r="E3085" t="str">
            <v>TRM</v>
          </cell>
          <cell r="F3085" t="str">
            <v>AM</v>
          </cell>
          <cell r="H3085">
            <v>88</v>
          </cell>
          <cell r="I3085">
            <v>18000</v>
          </cell>
        </row>
        <row r="3086">
          <cell r="A3086">
            <v>45352</v>
          </cell>
          <cell r="B3086" t="str">
            <v>Peter Sedrak</v>
          </cell>
          <cell r="E3086" t="str">
            <v>TRM</v>
          </cell>
          <cell r="F3086" t="str">
            <v>AM</v>
          </cell>
          <cell r="H3086">
            <v>88</v>
          </cell>
          <cell r="I3086">
            <v>18000</v>
          </cell>
        </row>
        <row r="3087">
          <cell r="A3087">
            <v>45352</v>
          </cell>
          <cell r="B3087" t="str">
            <v>Simon Williams</v>
          </cell>
          <cell r="E3087" t="str">
            <v>TRM</v>
          </cell>
          <cell r="F3087" t="str">
            <v>AM</v>
          </cell>
          <cell r="H3087">
            <v>88</v>
          </cell>
          <cell r="I3087">
            <v>17033</v>
          </cell>
        </row>
        <row r="3088">
          <cell r="A3088">
            <v>45352</v>
          </cell>
          <cell r="B3088" t="str">
            <v>Shabbir Lacewala</v>
          </cell>
          <cell r="E3088" t="str">
            <v>TRM</v>
          </cell>
          <cell r="F3088" t="str">
            <v>AM</v>
          </cell>
          <cell r="H3088">
            <v>88</v>
          </cell>
          <cell r="I3088">
            <v>17031</v>
          </cell>
        </row>
        <row r="3089">
          <cell r="A3089">
            <v>45383</v>
          </cell>
          <cell r="B3089" t="str">
            <v>Khalid Karmastaji</v>
          </cell>
          <cell r="E3089" t="str">
            <v>AUH</v>
          </cell>
          <cell r="F3089" t="str">
            <v>D</v>
          </cell>
          <cell r="H3089">
            <v>0</v>
          </cell>
          <cell r="I3089">
            <v>302095</v>
          </cell>
        </row>
        <row r="3090">
          <cell r="A3090">
            <v>45383</v>
          </cell>
          <cell r="B3090" t="str">
            <v>Ammar Alqudsi</v>
          </cell>
          <cell r="E3090" t="str">
            <v>AUH</v>
          </cell>
          <cell r="F3090" t="str">
            <v>AM</v>
          </cell>
          <cell r="H3090">
            <v>0</v>
          </cell>
          <cell r="I3090">
            <v>55000</v>
          </cell>
        </row>
        <row r="3091">
          <cell r="A3091">
            <v>45383</v>
          </cell>
          <cell r="B3091" t="str">
            <v>Khamis Almakrani</v>
          </cell>
          <cell r="E3091" t="str">
            <v>AUH</v>
          </cell>
          <cell r="F3091" t="str">
            <v>AM</v>
          </cell>
          <cell r="H3091">
            <v>0</v>
          </cell>
          <cell r="I3091">
            <v>55000</v>
          </cell>
        </row>
        <row r="3092">
          <cell r="A3092">
            <v>45383</v>
          </cell>
          <cell r="B3092" t="str">
            <v>Muhammad Nauman Khan</v>
          </cell>
          <cell r="E3092" t="str">
            <v>AUH</v>
          </cell>
          <cell r="F3092" t="str">
            <v>AM</v>
          </cell>
          <cell r="H3092">
            <v>0</v>
          </cell>
          <cell r="I3092">
            <v>79095</v>
          </cell>
        </row>
        <row r="3093">
          <cell r="A3093">
            <v>45383</v>
          </cell>
          <cell r="B3093" t="str">
            <v>Omar AlHammadi</v>
          </cell>
          <cell r="E3093" t="str">
            <v>AUH</v>
          </cell>
          <cell r="F3093" t="str">
            <v>AM</v>
          </cell>
          <cell r="H3093">
            <v>0</v>
          </cell>
          <cell r="I3093">
            <v>55000</v>
          </cell>
        </row>
        <row r="3094">
          <cell r="A3094">
            <v>45383</v>
          </cell>
          <cell r="B3094" t="str">
            <v>Tarek Solh</v>
          </cell>
          <cell r="E3094" t="str">
            <v>AUH</v>
          </cell>
          <cell r="F3094" t="str">
            <v>AM</v>
          </cell>
          <cell r="H3094">
            <v>0</v>
          </cell>
          <cell r="I3094">
            <v>58000</v>
          </cell>
        </row>
        <row r="3095">
          <cell r="A3095">
            <v>45383</v>
          </cell>
          <cell r="B3095" t="str">
            <v>Mohamad Amer Sibai</v>
          </cell>
          <cell r="E3095" t="str">
            <v>DXB</v>
          </cell>
          <cell r="F3095" t="str">
            <v>D</v>
          </cell>
          <cell r="H3095">
            <v>0</v>
          </cell>
          <cell r="I3095">
            <v>158635</v>
          </cell>
        </row>
        <row r="3096">
          <cell r="A3096">
            <v>45383</v>
          </cell>
          <cell r="B3096" t="str">
            <v>Ali AlZarooni</v>
          </cell>
          <cell r="E3096" t="str">
            <v>DXB</v>
          </cell>
          <cell r="F3096" t="str">
            <v>AM</v>
          </cell>
          <cell r="H3096">
            <v>0</v>
          </cell>
          <cell r="I3096">
            <v>25000</v>
          </cell>
        </row>
        <row r="3097">
          <cell r="A3097">
            <v>45383</v>
          </cell>
          <cell r="B3097" t="str">
            <v>Humaid Al Ali</v>
          </cell>
          <cell r="E3097" t="str">
            <v>DXB</v>
          </cell>
          <cell r="F3097" t="str">
            <v>AM</v>
          </cell>
          <cell r="H3097">
            <v>0</v>
          </cell>
          <cell r="I3097">
            <v>5000</v>
          </cell>
        </row>
        <row r="3098">
          <cell r="A3098">
            <v>45383</v>
          </cell>
          <cell r="B3098" t="str">
            <v>Mohamed Mady</v>
          </cell>
          <cell r="E3098" t="str">
            <v>DXB</v>
          </cell>
          <cell r="F3098" t="str">
            <v>AM</v>
          </cell>
          <cell r="H3098">
            <v>0</v>
          </cell>
          <cell r="I3098">
            <v>50000</v>
          </cell>
        </row>
        <row r="3099">
          <cell r="A3099">
            <v>45383</v>
          </cell>
          <cell r="B3099" t="str">
            <v>Ramzi Gholmieh</v>
          </cell>
          <cell r="E3099" t="str">
            <v>DXB</v>
          </cell>
          <cell r="F3099" t="str">
            <v>AM</v>
          </cell>
          <cell r="H3099">
            <v>0</v>
          </cell>
          <cell r="I3099">
            <v>16635</v>
          </cell>
        </row>
        <row r="3100">
          <cell r="A3100">
            <v>45383</v>
          </cell>
          <cell r="B3100" t="str">
            <v>Talal Ahmed Ali Alsharhan</v>
          </cell>
          <cell r="E3100" t="str">
            <v>DXB</v>
          </cell>
          <cell r="F3100" t="str">
            <v>AM</v>
          </cell>
          <cell r="H3100">
            <v>0</v>
          </cell>
          <cell r="I3100">
            <v>17000</v>
          </cell>
        </row>
        <row r="3101">
          <cell r="A3101">
            <v>45383</v>
          </cell>
          <cell r="B3101" t="str">
            <v>Tariq AlAwadhi</v>
          </cell>
          <cell r="E3101" t="str">
            <v>DXB</v>
          </cell>
          <cell r="F3101" t="str">
            <v>AM</v>
          </cell>
          <cell r="H3101">
            <v>0</v>
          </cell>
          <cell r="I3101">
            <v>45000</v>
          </cell>
        </row>
        <row r="3102">
          <cell r="A3102">
            <v>45383</v>
          </cell>
          <cell r="B3102" t="str">
            <v>Khaled Alawadi</v>
          </cell>
          <cell r="E3102" t="str">
            <v>F-NE</v>
          </cell>
          <cell r="F3102" t="str">
            <v>D</v>
          </cell>
          <cell r="H3102">
            <v>0</v>
          </cell>
          <cell r="I3102">
            <v>47512.5</v>
          </cell>
        </row>
        <row r="3103">
          <cell r="A3103">
            <v>45383</v>
          </cell>
          <cell r="B3103" t="str">
            <v>Bader Al Shehhi</v>
          </cell>
          <cell r="E3103" t="str">
            <v>F-NE</v>
          </cell>
          <cell r="F3103" t="str">
            <v>AM</v>
          </cell>
          <cell r="H3103">
            <v>0</v>
          </cell>
          <cell r="I3103">
            <v>6500</v>
          </cell>
        </row>
        <row r="3104">
          <cell r="A3104">
            <v>45383</v>
          </cell>
          <cell r="B3104" t="str">
            <v>Bashar Al Adilee</v>
          </cell>
          <cell r="E3104" t="str">
            <v>F-NE</v>
          </cell>
          <cell r="F3104" t="str">
            <v>AM</v>
          </cell>
          <cell r="H3104">
            <v>0</v>
          </cell>
          <cell r="I3104">
            <v>13750</v>
          </cell>
        </row>
        <row r="3105">
          <cell r="A3105">
            <v>45383</v>
          </cell>
          <cell r="B3105" t="str">
            <v>Khalid Mohammed</v>
          </cell>
          <cell r="E3105" t="str">
            <v>F-NE</v>
          </cell>
          <cell r="F3105" t="str">
            <v>AM</v>
          </cell>
          <cell r="H3105">
            <v>0</v>
          </cell>
          <cell r="I3105">
            <v>7700</v>
          </cell>
        </row>
        <row r="3106">
          <cell r="A3106">
            <v>45383</v>
          </cell>
          <cell r="B3106" t="str">
            <v>Majd Nairoukh</v>
          </cell>
          <cell r="E3106" t="str">
            <v>F-NE</v>
          </cell>
          <cell r="F3106" t="str">
            <v>AM</v>
          </cell>
          <cell r="H3106">
            <v>0</v>
          </cell>
          <cell r="I3106">
            <v>6300</v>
          </cell>
        </row>
        <row r="3107">
          <cell r="A3107">
            <v>45383</v>
          </cell>
          <cell r="B3107" t="str">
            <v>Nader AlMustafa</v>
          </cell>
          <cell r="E3107" t="str">
            <v>F-NE</v>
          </cell>
          <cell r="F3107" t="str">
            <v>AM</v>
          </cell>
          <cell r="H3107">
            <v>0</v>
          </cell>
          <cell r="I3107">
            <v>6763</v>
          </cell>
        </row>
        <row r="3108">
          <cell r="A3108">
            <v>45383</v>
          </cell>
          <cell r="B3108" t="str">
            <v>Yousef Al Baloushi</v>
          </cell>
          <cell r="E3108" t="str">
            <v>F-NE</v>
          </cell>
          <cell r="F3108" t="str">
            <v>AM</v>
          </cell>
          <cell r="H3108">
            <v>0</v>
          </cell>
          <cell r="I3108">
            <v>6500</v>
          </cell>
        </row>
        <row r="3109">
          <cell r="A3109">
            <v>45383</v>
          </cell>
          <cell r="B3109" t="str">
            <v>Mazen Adem</v>
          </cell>
          <cell r="E3109" t="str">
            <v>FOGH</v>
          </cell>
          <cell r="F3109" t="str">
            <v>D</v>
          </cell>
          <cell r="H3109">
            <v>1178</v>
          </cell>
          <cell r="I3109">
            <v>370258</v>
          </cell>
        </row>
        <row r="3110">
          <cell r="A3110">
            <v>45383</v>
          </cell>
          <cell r="B3110" t="str">
            <v>Abdel Azim Sharabati</v>
          </cell>
          <cell r="E3110" t="str">
            <v>FOGH</v>
          </cell>
          <cell r="F3110" t="str">
            <v>AM</v>
          </cell>
          <cell r="H3110">
            <v>131</v>
          </cell>
          <cell r="I3110">
            <v>39765</v>
          </cell>
        </row>
        <row r="3111">
          <cell r="A3111">
            <v>45383</v>
          </cell>
          <cell r="B3111" t="str">
            <v>Abraham Cherian</v>
          </cell>
          <cell r="E3111" t="str">
            <v>FOGH</v>
          </cell>
          <cell r="F3111" t="str">
            <v>AM</v>
          </cell>
          <cell r="H3111">
            <v>131</v>
          </cell>
          <cell r="I3111">
            <v>52138</v>
          </cell>
        </row>
        <row r="3112">
          <cell r="A3112">
            <v>45383</v>
          </cell>
          <cell r="B3112" t="str">
            <v>Arjun Subaraman</v>
          </cell>
          <cell r="E3112" t="str">
            <v>FOGH</v>
          </cell>
          <cell r="F3112" t="str">
            <v>AM</v>
          </cell>
          <cell r="H3112">
            <v>131</v>
          </cell>
          <cell r="I3112">
            <v>39765</v>
          </cell>
        </row>
        <row r="3113">
          <cell r="A3113">
            <v>45383</v>
          </cell>
          <cell r="B3113" t="str">
            <v>Ghassan Fouany</v>
          </cell>
          <cell r="E3113" t="str">
            <v>FOGH</v>
          </cell>
          <cell r="F3113" t="str">
            <v>AM</v>
          </cell>
          <cell r="H3113">
            <v>131</v>
          </cell>
          <cell r="I3113">
            <v>39765</v>
          </cell>
        </row>
        <row r="3114">
          <cell r="A3114">
            <v>45383</v>
          </cell>
          <cell r="B3114" t="str">
            <v>Inayat Fazili</v>
          </cell>
          <cell r="E3114" t="str">
            <v>FOGH</v>
          </cell>
          <cell r="F3114" t="str">
            <v>AM</v>
          </cell>
          <cell r="H3114">
            <v>131</v>
          </cell>
          <cell r="I3114">
            <v>39765</v>
          </cell>
        </row>
        <row r="3115">
          <cell r="A3115">
            <v>45383</v>
          </cell>
          <cell r="B3115" t="str">
            <v>Mohamed Mostafa</v>
          </cell>
          <cell r="E3115" t="str">
            <v>FOGH</v>
          </cell>
          <cell r="F3115" t="str">
            <v>AM</v>
          </cell>
          <cell r="H3115">
            <v>131</v>
          </cell>
          <cell r="I3115">
            <v>39765</v>
          </cell>
        </row>
        <row r="3116">
          <cell r="A3116">
            <v>45383</v>
          </cell>
          <cell r="B3116" t="str">
            <v>Mohd Sheikh Salem</v>
          </cell>
          <cell r="E3116" t="str">
            <v>FOGH</v>
          </cell>
          <cell r="F3116" t="str">
            <v>AM</v>
          </cell>
          <cell r="H3116">
            <v>131</v>
          </cell>
          <cell r="I3116">
            <v>39765</v>
          </cell>
        </row>
        <row r="3117">
          <cell r="A3117">
            <v>45383</v>
          </cell>
          <cell r="B3117" t="str">
            <v>Nadeem Rasheed</v>
          </cell>
          <cell r="E3117" t="str">
            <v>FOGH</v>
          </cell>
          <cell r="F3117" t="str">
            <v>AM</v>
          </cell>
          <cell r="H3117">
            <v>131</v>
          </cell>
          <cell r="I3117">
            <v>39765</v>
          </cell>
        </row>
        <row r="3118">
          <cell r="A3118">
            <v>45383</v>
          </cell>
          <cell r="B3118" t="str">
            <v>Ramy Abdel Fattah</v>
          </cell>
          <cell r="E3118" t="str">
            <v>FOGH</v>
          </cell>
          <cell r="F3118" t="str">
            <v>AM</v>
          </cell>
          <cell r="H3118">
            <v>131</v>
          </cell>
          <cell r="I3118">
            <v>39765</v>
          </cell>
        </row>
        <row r="3119">
          <cell r="A3119">
            <v>45383</v>
          </cell>
          <cell r="B3119" t="str">
            <v>Mohamed AlZarooni</v>
          </cell>
          <cell r="E3119" t="str">
            <v>HUNT</v>
          </cell>
          <cell r="F3119" t="str">
            <v>D</v>
          </cell>
          <cell r="H3119">
            <v>267.63696450815814</v>
          </cell>
          <cell r="I3119">
            <v>104350</v>
          </cell>
        </row>
        <row r="3120">
          <cell r="A3120">
            <v>45383</v>
          </cell>
          <cell r="B3120" t="str">
            <v>Adnan Bashir</v>
          </cell>
          <cell r="E3120" t="str">
            <v>HUNT</v>
          </cell>
          <cell r="F3120" t="str">
            <v>AM</v>
          </cell>
          <cell r="H3120">
            <v>100</v>
          </cell>
          <cell r="I3120">
            <v>12500</v>
          </cell>
        </row>
        <row r="3121">
          <cell r="A3121">
            <v>45383</v>
          </cell>
          <cell r="B3121" t="str">
            <v>Ammar Aladily</v>
          </cell>
          <cell r="E3121" t="str">
            <v>HUNT</v>
          </cell>
          <cell r="F3121" t="str">
            <v>AM</v>
          </cell>
          <cell r="H3121">
            <v>100</v>
          </cell>
          <cell r="I3121">
            <v>30000</v>
          </cell>
        </row>
        <row r="3122">
          <cell r="A3122">
            <v>45383</v>
          </cell>
          <cell r="B3122" t="str">
            <v>Anastasia Maltseva</v>
          </cell>
          <cell r="E3122" t="str">
            <v>HUNT</v>
          </cell>
          <cell r="F3122" t="str">
            <v>AM</v>
          </cell>
          <cell r="H3122">
            <v>20</v>
          </cell>
          <cell r="I3122">
            <v>5000</v>
          </cell>
        </row>
        <row r="3123">
          <cell r="A3123">
            <v>45383</v>
          </cell>
          <cell r="B3123" t="str">
            <v>Favas Kurinhilayil</v>
          </cell>
          <cell r="E3123" t="str">
            <v>HUNT</v>
          </cell>
          <cell r="F3123" t="str">
            <v>AM</v>
          </cell>
          <cell r="H3123">
            <v>23</v>
          </cell>
          <cell r="I3123">
            <v>12500</v>
          </cell>
        </row>
        <row r="3124">
          <cell r="A3124">
            <v>45383</v>
          </cell>
          <cell r="B3124" t="str">
            <v>Othman Hassan</v>
          </cell>
          <cell r="E3124" t="str">
            <v>HUNT</v>
          </cell>
          <cell r="F3124" t="str">
            <v>AM</v>
          </cell>
          <cell r="H3124">
            <v>25</v>
          </cell>
          <cell r="I3124">
            <v>44350</v>
          </cell>
        </row>
        <row r="3125">
          <cell r="A3125">
            <v>45383</v>
          </cell>
          <cell r="B3125" t="str">
            <v>Hany Jawee</v>
          </cell>
          <cell r="E3125" t="str">
            <v>TRE</v>
          </cell>
          <cell r="F3125" t="str">
            <v>D</v>
          </cell>
          <cell r="H3125">
            <v>965</v>
          </cell>
          <cell r="I3125">
            <v>363040</v>
          </cell>
        </row>
        <row r="3126">
          <cell r="A3126">
            <v>45383</v>
          </cell>
          <cell r="B3126" t="str">
            <v>Ahmad Ozdamir</v>
          </cell>
          <cell r="E3126" t="str">
            <v>TRE</v>
          </cell>
          <cell r="F3126" t="str">
            <v>AM</v>
          </cell>
          <cell r="H3126">
            <v>90</v>
          </cell>
          <cell r="I3126">
            <v>38722.222222222197</v>
          </cell>
        </row>
        <row r="3127">
          <cell r="A3127">
            <v>45383</v>
          </cell>
          <cell r="B3127" t="str">
            <v>Amjad Ilwan</v>
          </cell>
          <cell r="E3127" t="str">
            <v>TRE</v>
          </cell>
          <cell r="F3127" t="str">
            <v>AM</v>
          </cell>
          <cell r="H3127">
            <v>100</v>
          </cell>
          <cell r="I3127">
            <v>39722.222222222219</v>
          </cell>
        </row>
        <row r="3128">
          <cell r="A3128">
            <v>45383</v>
          </cell>
          <cell r="B3128" t="str">
            <v>Ehab Hajou</v>
          </cell>
          <cell r="E3128" t="str">
            <v>TRE</v>
          </cell>
          <cell r="F3128" t="str">
            <v>AM</v>
          </cell>
          <cell r="H3128">
            <v>90</v>
          </cell>
          <cell r="I3128">
            <v>40722.222222222219</v>
          </cell>
        </row>
        <row r="3129">
          <cell r="A3129">
            <v>45383</v>
          </cell>
          <cell r="B3129" t="str">
            <v>Fadi Saleh</v>
          </cell>
          <cell r="E3129" t="str">
            <v>TRE</v>
          </cell>
          <cell r="F3129" t="str">
            <v>AM</v>
          </cell>
          <cell r="H3129">
            <v>75</v>
          </cell>
          <cell r="I3129">
            <v>32222.222222222201</v>
          </cell>
        </row>
        <row r="3130">
          <cell r="A3130">
            <v>45383</v>
          </cell>
          <cell r="B3130" t="str">
            <v>Majid Abdulla</v>
          </cell>
          <cell r="E3130" t="str">
            <v>TRE</v>
          </cell>
          <cell r="F3130" t="str">
            <v>AM</v>
          </cell>
          <cell r="H3130">
            <v>65</v>
          </cell>
          <cell r="I3130">
            <v>37965.222222222197</v>
          </cell>
        </row>
        <row r="3131">
          <cell r="A3131">
            <v>45383</v>
          </cell>
          <cell r="B3131" t="str">
            <v>Mehfooz Mir</v>
          </cell>
          <cell r="E3131" t="str">
            <v>TRE</v>
          </cell>
          <cell r="F3131" t="str">
            <v>AM</v>
          </cell>
          <cell r="H3131">
            <v>85</v>
          </cell>
          <cell r="I3131">
            <v>40222.222222222197</v>
          </cell>
        </row>
        <row r="3132">
          <cell r="A3132">
            <v>45383</v>
          </cell>
          <cell r="B3132" t="str">
            <v>Mostafa Mekawy</v>
          </cell>
          <cell r="E3132" t="str">
            <v>TRE</v>
          </cell>
          <cell r="F3132" t="str">
            <v>AM</v>
          </cell>
          <cell r="H3132">
            <v>100</v>
          </cell>
          <cell r="I3132">
            <v>40222.222222222197</v>
          </cell>
        </row>
        <row r="3133">
          <cell r="A3133">
            <v>45383</v>
          </cell>
          <cell r="B3133" t="str">
            <v>Rijith Menon</v>
          </cell>
          <cell r="E3133" t="str">
            <v>TRE</v>
          </cell>
          <cell r="F3133" t="str">
            <v>AM</v>
          </cell>
          <cell r="H3133">
            <v>100</v>
          </cell>
          <cell r="I3133">
            <v>40422.222222222219</v>
          </cell>
        </row>
        <row r="3134">
          <cell r="A3134">
            <v>45383</v>
          </cell>
          <cell r="B3134" t="str">
            <v>Suleiman Wanni</v>
          </cell>
          <cell r="E3134" t="str">
            <v>TRE</v>
          </cell>
          <cell r="F3134" t="str">
            <v>AM</v>
          </cell>
          <cell r="H3134">
            <v>90</v>
          </cell>
          <cell r="I3134">
            <v>40522.222222222219</v>
          </cell>
        </row>
        <row r="3135">
          <cell r="A3135">
            <v>45383</v>
          </cell>
          <cell r="B3135" t="str">
            <v>Waseem Suhaf</v>
          </cell>
          <cell r="E3135" t="str">
            <v>TRE</v>
          </cell>
          <cell r="F3135" t="str">
            <v>AM</v>
          </cell>
          <cell r="H3135">
            <v>170</v>
          </cell>
          <cell r="I3135">
            <v>12297.3125</v>
          </cell>
        </row>
        <row r="3136">
          <cell r="A3136">
            <v>45383</v>
          </cell>
          <cell r="B3136" t="str">
            <v>Muhammad Shahzad Hasan</v>
          </cell>
          <cell r="E3136" t="str">
            <v>TRM</v>
          </cell>
          <cell r="F3136" t="str">
            <v>D</v>
          </cell>
          <cell r="H3136">
            <v>960.39219466362749</v>
          </cell>
          <cell r="I3136">
            <v>154109</v>
          </cell>
        </row>
        <row r="3137">
          <cell r="A3137">
            <v>45383</v>
          </cell>
          <cell r="B3137" t="str">
            <v>Abdulghaffar Alkhaja</v>
          </cell>
          <cell r="E3137" t="str">
            <v>TRM</v>
          </cell>
          <cell r="F3137" t="str">
            <v>AM</v>
          </cell>
          <cell r="H3137">
            <v>50</v>
          </cell>
          <cell r="I3137">
            <v>5000</v>
          </cell>
        </row>
        <row r="3138">
          <cell r="A3138">
            <v>45383</v>
          </cell>
          <cell r="B3138" t="str">
            <v>Eslam Hassan</v>
          </cell>
          <cell r="E3138" t="str">
            <v>TRM</v>
          </cell>
          <cell r="F3138" t="str">
            <v>AM</v>
          </cell>
          <cell r="H3138">
            <v>120.04902433295344</v>
          </cell>
          <cell r="I3138">
            <v>19264</v>
          </cell>
        </row>
        <row r="3139">
          <cell r="A3139">
            <v>45383</v>
          </cell>
          <cell r="B3139" t="str">
            <v>Khaled Abdelaziz</v>
          </cell>
          <cell r="E3139" t="str">
            <v>TRM</v>
          </cell>
          <cell r="F3139" t="str">
            <v>AM</v>
          </cell>
          <cell r="H3139">
            <v>120.04902433295344</v>
          </cell>
          <cell r="I3139">
            <v>19264</v>
          </cell>
        </row>
        <row r="3140">
          <cell r="A3140">
            <v>45383</v>
          </cell>
          <cell r="B3140" t="str">
            <v>Mohamad Labban</v>
          </cell>
          <cell r="E3140" t="str">
            <v>TRM</v>
          </cell>
          <cell r="F3140" t="str">
            <v>AM</v>
          </cell>
          <cell r="H3140">
            <v>120.04902433295344</v>
          </cell>
          <cell r="I3140">
            <v>19264</v>
          </cell>
        </row>
        <row r="3141">
          <cell r="A3141">
            <v>45383</v>
          </cell>
          <cell r="B3141" t="str">
            <v>Mohamed Kishk</v>
          </cell>
          <cell r="E3141" t="str">
            <v>TRM</v>
          </cell>
          <cell r="F3141" t="str">
            <v>AM</v>
          </cell>
          <cell r="H3141">
            <v>120.04902433295344</v>
          </cell>
          <cell r="I3141">
            <v>19264</v>
          </cell>
        </row>
        <row r="3142">
          <cell r="A3142">
            <v>45383</v>
          </cell>
          <cell r="B3142" t="str">
            <v>Mushahid Hussain Syed</v>
          </cell>
          <cell r="E3142" t="str">
            <v>TRM</v>
          </cell>
          <cell r="F3142" t="str">
            <v>AM</v>
          </cell>
          <cell r="H3142">
            <v>120.04902433295344</v>
          </cell>
          <cell r="I3142">
            <v>19261</v>
          </cell>
        </row>
        <row r="3143">
          <cell r="A3143">
            <v>45383</v>
          </cell>
          <cell r="B3143" t="str">
            <v>Peter Sedrak</v>
          </cell>
          <cell r="E3143" t="str">
            <v>TRM</v>
          </cell>
          <cell r="F3143" t="str">
            <v>AM</v>
          </cell>
          <cell r="H3143">
            <v>120.04902433295344</v>
          </cell>
          <cell r="I3143">
            <v>19264</v>
          </cell>
        </row>
        <row r="3144">
          <cell r="A3144">
            <v>45383</v>
          </cell>
          <cell r="B3144" t="str">
            <v>Simon Williams</v>
          </cell>
          <cell r="E3144" t="str">
            <v>TRM</v>
          </cell>
          <cell r="F3144" t="str">
            <v>AM</v>
          </cell>
          <cell r="H3144">
            <v>120.04902433295344</v>
          </cell>
          <cell r="I3144">
            <v>19264</v>
          </cell>
        </row>
        <row r="3145">
          <cell r="A3145">
            <v>45383</v>
          </cell>
          <cell r="B3145" t="str">
            <v>Shabbir Lacewala</v>
          </cell>
          <cell r="E3145" t="str">
            <v>TRM</v>
          </cell>
          <cell r="F3145" t="str">
            <v>AM</v>
          </cell>
          <cell r="H3145">
            <v>120.04902433295344</v>
          </cell>
          <cell r="I3145">
            <v>19264</v>
          </cell>
        </row>
        <row r="3146">
          <cell r="A3146">
            <v>45413</v>
          </cell>
          <cell r="B3146" t="str">
            <v>Khalid Karmastaji</v>
          </cell>
          <cell r="E3146" t="str">
            <v>AUH</v>
          </cell>
          <cell r="F3146" t="str">
            <v>D</v>
          </cell>
          <cell r="H3146">
            <v>0</v>
          </cell>
          <cell r="I3146">
            <v>318005.66562500002</v>
          </cell>
        </row>
        <row r="3147">
          <cell r="A3147">
            <v>45413</v>
          </cell>
          <cell r="B3147" t="str">
            <v>Ammar Alqudsi</v>
          </cell>
          <cell r="E3147" t="str">
            <v>AUH</v>
          </cell>
          <cell r="F3147" t="str">
            <v>AM</v>
          </cell>
          <cell r="H3147">
            <v>0</v>
          </cell>
          <cell r="I3147">
            <v>63601.133125000008</v>
          </cell>
        </row>
        <row r="3148">
          <cell r="A3148">
            <v>45413</v>
          </cell>
          <cell r="B3148" t="str">
            <v>Khamis Almakrani</v>
          </cell>
          <cell r="E3148" t="str">
            <v>AUH</v>
          </cell>
          <cell r="F3148" t="str">
            <v>AM</v>
          </cell>
          <cell r="H3148">
            <v>0</v>
          </cell>
          <cell r="I3148">
            <v>63601.133125000008</v>
          </cell>
        </row>
        <row r="3149">
          <cell r="A3149">
            <v>45413</v>
          </cell>
          <cell r="B3149" t="str">
            <v>Muhammad Nauman Khan</v>
          </cell>
          <cell r="E3149" t="str">
            <v>AUH</v>
          </cell>
          <cell r="F3149" t="str">
            <v>AM</v>
          </cell>
          <cell r="H3149">
            <v>0</v>
          </cell>
          <cell r="I3149">
            <v>63601.133125000008</v>
          </cell>
        </row>
        <row r="3150">
          <cell r="A3150">
            <v>45413</v>
          </cell>
          <cell r="B3150" t="str">
            <v>Omar AlHammadi</v>
          </cell>
          <cell r="E3150" t="str">
            <v>AUH</v>
          </cell>
          <cell r="F3150" t="str">
            <v>AM</v>
          </cell>
          <cell r="H3150">
            <v>0</v>
          </cell>
          <cell r="I3150">
            <v>63601.133125000008</v>
          </cell>
        </row>
        <row r="3151">
          <cell r="A3151">
            <v>45413</v>
          </cell>
          <cell r="B3151" t="str">
            <v>Tarek Solh</v>
          </cell>
          <cell r="E3151" t="str">
            <v>AUH</v>
          </cell>
          <cell r="F3151" t="str">
            <v>AM</v>
          </cell>
          <cell r="H3151">
            <v>0</v>
          </cell>
          <cell r="I3151">
            <v>63601.133125000008</v>
          </cell>
        </row>
        <row r="3152">
          <cell r="A3152">
            <v>45413</v>
          </cell>
          <cell r="B3152" t="str">
            <v>Mohamad Amer Sibai</v>
          </cell>
          <cell r="E3152" t="str">
            <v>DXB</v>
          </cell>
          <cell r="F3152" t="str">
            <v>D</v>
          </cell>
          <cell r="H3152">
            <v>0</v>
          </cell>
          <cell r="I3152">
            <v>166990.105625</v>
          </cell>
        </row>
        <row r="3153">
          <cell r="A3153">
            <v>45413</v>
          </cell>
          <cell r="B3153" t="str">
            <v>Ali Alzarooni</v>
          </cell>
          <cell r="E3153" t="str">
            <v>DXB</v>
          </cell>
          <cell r="F3153" t="str">
            <v>AM</v>
          </cell>
          <cell r="H3153">
            <v>0</v>
          </cell>
          <cell r="I3153">
            <v>50000</v>
          </cell>
        </row>
        <row r="3154">
          <cell r="A3154">
            <v>45413</v>
          </cell>
          <cell r="B3154" t="str">
            <v>Humaid Al Ali</v>
          </cell>
          <cell r="E3154" t="str">
            <v>DXB</v>
          </cell>
          <cell r="F3154" t="str">
            <v>AM</v>
          </cell>
          <cell r="H3154">
            <v>0</v>
          </cell>
          <cell r="I3154">
            <v>26000</v>
          </cell>
        </row>
        <row r="3155">
          <cell r="A3155">
            <v>45413</v>
          </cell>
          <cell r="B3155" t="str">
            <v>Mohamed Mady</v>
          </cell>
          <cell r="E3155" t="str">
            <v>DXB</v>
          </cell>
          <cell r="F3155" t="str">
            <v>AM</v>
          </cell>
          <cell r="H3155">
            <v>0</v>
          </cell>
          <cell r="I3155">
            <v>35000</v>
          </cell>
        </row>
        <row r="3156">
          <cell r="A3156">
            <v>45413</v>
          </cell>
          <cell r="B3156" t="str">
            <v>Ramzi Gholmieh</v>
          </cell>
          <cell r="E3156" t="str">
            <v>DXB</v>
          </cell>
          <cell r="F3156" t="str">
            <v>AM</v>
          </cell>
          <cell r="H3156">
            <v>0</v>
          </cell>
          <cell r="I3156">
            <v>29000</v>
          </cell>
        </row>
        <row r="3157">
          <cell r="A3157">
            <v>45413</v>
          </cell>
          <cell r="B3157" t="str">
            <v>Talal Ahmed Ali Alsharhan</v>
          </cell>
          <cell r="E3157" t="str">
            <v>DXB</v>
          </cell>
          <cell r="F3157" t="str">
            <v>AM</v>
          </cell>
          <cell r="H3157">
            <v>0</v>
          </cell>
          <cell r="I3157">
            <v>26990</v>
          </cell>
        </row>
        <row r="3158">
          <cell r="A3158">
            <v>45413</v>
          </cell>
          <cell r="B3158" t="str">
            <v>Khaled Alawadi</v>
          </cell>
          <cell r="E3158" t="str">
            <v>F-NE</v>
          </cell>
          <cell r="F3158" t="str">
            <v>D</v>
          </cell>
          <cell r="H3158">
            <v>0</v>
          </cell>
          <cell r="I3158">
            <v>50014.825000000004</v>
          </cell>
        </row>
        <row r="3159">
          <cell r="A3159">
            <v>45413</v>
          </cell>
          <cell r="B3159" t="str">
            <v>Bader Al Shehhi</v>
          </cell>
          <cell r="E3159" t="str">
            <v>F-NE</v>
          </cell>
          <cell r="F3159" t="str">
            <v>AM</v>
          </cell>
          <cell r="H3159">
            <v>0</v>
          </cell>
          <cell r="I3159">
            <v>6980</v>
          </cell>
        </row>
        <row r="3160">
          <cell r="A3160">
            <v>45413</v>
          </cell>
          <cell r="B3160" t="str">
            <v>Bashar Al Adilee</v>
          </cell>
          <cell r="E3160" t="str">
            <v>F-NE</v>
          </cell>
          <cell r="F3160" t="str">
            <v>AM</v>
          </cell>
          <cell r="H3160">
            <v>0</v>
          </cell>
          <cell r="I3160">
            <v>12015</v>
          </cell>
        </row>
        <row r="3161">
          <cell r="A3161">
            <v>45413</v>
          </cell>
          <cell r="B3161" t="str">
            <v>Khalid Mohammed</v>
          </cell>
          <cell r="E3161" t="str">
            <v>F-NE</v>
          </cell>
          <cell r="F3161" t="str">
            <v>AM</v>
          </cell>
          <cell r="H3161">
            <v>0</v>
          </cell>
          <cell r="I3161">
            <v>6980</v>
          </cell>
        </row>
        <row r="3162">
          <cell r="A3162">
            <v>45413</v>
          </cell>
          <cell r="B3162" t="str">
            <v>Majd Nairoukh</v>
          </cell>
          <cell r="E3162" t="str">
            <v>F-NE</v>
          </cell>
          <cell r="F3162" t="str">
            <v>AM</v>
          </cell>
          <cell r="H3162">
            <v>0</v>
          </cell>
          <cell r="I3162">
            <v>8530</v>
          </cell>
        </row>
        <row r="3163">
          <cell r="A3163">
            <v>45413</v>
          </cell>
          <cell r="B3163" t="str">
            <v>Nader AlMustafa</v>
          </cell>
          <cell r="E3163" t="str">
            <v>F-NE</v>
          </cell>
          <cell r="F3163" t="str">
            <v>AM</v>
          </cell>
          <cell r="H3163">
            <v>0</v>
          </cell>
          <cell r="I3163">
            <v>8530</v>
          </cell>
        </row>
        <row r="3164">
          <cell r="A3164">
            <v>45413</v>
          </cell>
          <cell r="B3164" t="str">
            <v>Yousef Al Baloushi</v>
          </cell>
          <cell r="E3164" t="str">
            <v>F-NE</v>
          </cell>
          <cell r="F3164" t="str">
            <v>AM</v>
          </cell>
          <cell r="H3164">
            <v>0</v>
          </cell>
          <cell r="I3164">
            <v>6980</v>
          </cell>
        </row>
        <row r="3165">
          <cell r="A3165">
            <v>45413</v>
          </cell>
          <cell r="B3165" t="str">
            <v>Mazen Adem</v>
          </cell>
          <cell r="E3165" t="str">
            <v>FOGH</v>
          </cell>
          <cell r="F3165" t="str">
            <v>D</v>
          </cell>
          <cell r="H3165">
            <v>1130</v>
          </cell>
          <cell r="I3165">
            <v>389758</v>
          </cell>
        </row>
        <row r="3166">
          <cell r="A3166">
            <v>45413</v>
          </cell>
          <cell r="B3166" t="str">
            <v>Abdel Azim Sharabati</v>
          </cell>
          <cell r="E3166" t="str">
            <v>FOGH</v>
          </cell>
          <cell r="F3166" t="str">
            <v>AM</v>
          </cell>
          <cell r="H3166">
            <v>80</v>
          </cell>
          <cell r="I3166">
            <v>65352</v>
          </cell>
        </row>
        <row r="3167">
          <cell r="A3167">
            <v>45413</v>
          </cell>
          <cell r="B3167" t="str">
            <v>Abraham Cherian</v>
          </cell>
          <cell r="E3167" t="str">
            <v>FOGH</v>
          </cell>
          <cell r="F3167" t="str">
            <v>AM</v>
          </cell>
          <cell r="H3167">
            <v>160</v>
          </cell>
          <cell r="I3167">
            <v>32000</v>
          </cell>
        </row>
        <row r="3168">
          <cell r="A3168">
            <v>45413</v>
          </cell>
          <cell r="B3168" t="str">
            <v>Arjun Subaraman</v>
          </cell>
          <cell r="E3168" t="str">
            <v>FOGH</v>
          </cell>
          <cell r="F3168" t="str">
            <v>AM</v>
          </cell>
          <cell r="H3168">
            <v>80</v>
          </cell>
          <cell r="I3168">
            <v>65352</v>
          </cell>
        </row>
        <row r="3169">
          <cell r="A3169">
            <v>45413</v>
          </cell>
          <cell r="B3169" t="str">
            <v>Ghassan Fouany</v>
          </cell>
          <cell r="E3169" t="str">
            <v>FOGH</v>
          </cell>
          <cell r="F3169" t="str">
            <v>AM</v>
          </cell>
          <cell r="H3169">
            <v>100</v>
          </cell>
          <cell r="I3169">
            <v>19000</v>
          </cell>
        </row>
        <row r="3170">
          <cell r="A3170">
            <v>45413</v>
          </cell>
          <cell r="B3170" t="str">
            <v>Inayat Fazili</v>
          </cell>
          <cell r="E3170" t="str">
            <v>FOGH</v>
          </cell>
          <cell r="F3170" t="str">
            <v>AM</v>
          </cell>
          <cell r="H3170">
            <v>80</v>
          </cell>
          <cell r="I3170">
            <v>64352</v>
          </cell>
        </row>
        <row r="3171">
          <cell r="A3171">
            <v>45413</v>
          </cell>
          <cell r="B3171" t="str">
            <v>Mohamed Mostafa</v>
          </cell>
          <cell r="E3171" t="str">
            <v>FOGH</v>
          </cell>
          <cell r="F3171" t="str">
            <v>AM</v>
          </cell>
          <cell r="H3171">
            <v>80</v>
          </cell>
          <cell r="I3171">
            <v>64352</v>
          </cell>
        </row>
        <row r="3172">
          <cell r="A3172">
            <v>45413</v>
          </cell>
          <cell r="B3172" t="str">
            <v>Mohd Sheikh Salem</v>
          </cell>
          <cell r="E3172" t="str">
            <v>FOGH</v>
          </cell>
          <cell r="F3172" t="str">
            <v>AM</v>
          </cell>
          <cell r="H3172">
            <v>160</v>
          </cell>
          <cell r="I3172">
            <v>32000</v>
          </cell>
        </row>
        <row r="3173">
          <cell r="A3173">
            <v>45413</v>
          </cell>
          <cell r="B3173" t="str">
            <v>Nadeem Rasheed</v>
          </cell>
          <cell r="E3173" t="str">
            <v>FOGH</v>
          </cell>
          <cell r="F3173" t="str">
            <v>AM</v>
          </cell>
          <cell r="H3173">
            <v>200</v>
          </cell>
          <cell r="I3173">
            <v>25000</v>
          </cell>
        </row>
        <row r="3174">
          <cell r="A3174">
            <v>45413</v>
          </cell>
          <cell r="B3174" t="str">
            <v>Ramy Abdel Fattah</v>
          </cell>
          <cell r="E3174" t="str">
            <v>FOGH</v>
          </cell>
          <cell r="F3174" t="str">
            <v>AM</v>
          </cell>
          <cell r="H3174">
            <v>190</v>
          </cell>
          <cell r="I3174">
            <v>22352</v>
          </cell>
        </row>
        <row r="3175">
          <cell r="A3175">
            <v>45413</v>
          </cell>
          <cell r="B3175" t="str">
            <v>Mohamed AlZarooni</v>
          </cell>
          <cell r="E3175" t="str">
            <v>HUNT</v>
          </cell>
          <cell r="F3175" t="str">
            <v>D</v>
          </cell>
          <cell r="H3175">
            <v>247.7244843411894</v>
          </cell>
          <cell r="I3175">
            <v>109845.10875</v>
          </cell>
        </row>
        <row r="3176">
          <cell r="A3176">
            <v>45413</v>
          </cell>
          <cell r="B3176" t="str">
            <v>Adnan Bashir</v>
          </cell>
          <cell r="E3176" t="str">
            <v>HUNT</v>
          </cell>
          <cell r="F3176" t="str">
            <v>AM</v>
          </cell>
          <cell r="H3176">
            <v>82</v>
          </cell>
          <cell r="I3176">
            <v>16212</v>
          </cell>
        </row>
        <row r="3177">
          <cell r="A3177">
            <v>45413</v>
          </cell>
          <cell r="B3177" t="str">
            <v>Ammar Aladily</v>
          </cell>
          <cell r="E3177" t="str">
            <v>HUNT</v>
          </cell>
          <cell r="F3177" t="str">
            <v>AM</v>
          </cell>
          <cell r="H3177">
            <v>62</v>
          </cell>
          <cell r="I3177">
            <v>16211</v>
          </cell>
        </row>
        <row r="3178">
          <cell r="A3178">
            <v>45413</v>
          </cell>
          <cell r="B3178" t="str">
            <v>Anastasia Maltseva</v>
          </cell>
          <cell r="E3178" t="str">
            <v>HUNT</v>
          </cell>
          <cell r="F3178" t="str">
            <v>AM</v>
          </cell>
          <cell r="H3178">
            <v>22</v>
          </cell>
          <cell r="I3178">
            <v>45000</v>
          </cell>
        </row>
        <row r="3179">
          <cell r="A3179">
            <v>45413</v>
          </cell>
          <cell r="B3179" t="str">
            <v>Favas Kurinhilayil</v>
          </cell>
          <cell r="E3179" t="str">
            <v>HUNT</v>
          </cell>
          <cell r="F3179" t="str">
            <v>AM</v>
          </cell>
          <cell r="H3179">
            <v>42</v>
          </cell>
          <cell r="I3179">
            <v>16211</v>
          </cell>
        </row>
        <row r="3180">
          <cell r="A3180">
            <v>45413</v>
          </cell>
          <cell r="B3180" t="str">
            <v>Othman Hassan</v>
          </cell>
          <cell r="E3180" t="str">
            <v>HUNT</v>
          </cell>
          <cell r="F3180" t="str">
            <v>AM</v>
          </cell>
          <cell r="H3180">
            <v>40</v>
          </cell>
          <cell r="I3180">
            <v>16211</v>
          </cell>
        </row>
        <row r="3181">
          <cell r="A3181">
            <v>45413</v>
          </cell>
          <cell r="B3181" t="str">
            <v>Hany Jawee</v>
          </cell>
          <cell r="E3181" t="str">
            <v>TRE</v>
          </cell>
          <cell r="F3181" t="str">
            <v>D</v>
          </cell>
          <cell r="H3181">
            <v>928.89266915857945</v>
          </cell>
          <cell r="I3181">
            <v>382160.43562499998</v>
          </cell>
        </row>
        <row r="3182">
          <cell r="A3182">
            <v>45413</v>
          </cell>
          <cell r="B3182" t="str">
            <v>Ahmad Ozdamir</v>
          </cell>
          <cell r="E3182" t="str">
            <v>TRE</v>
          </cell>
          <cell r="F3182" t="str">
            <v>AM</v>
          </cell>
          <cell r="H3182">
            <v>90</v>
          </cell>
          <cell r="I3182">
            <v>36596.608270190001</v>
          </cell>
        </row>
        <row r="3183">
          <cell r="A3183">
            <v>45413</v>
          </cell>
          <cell r="B3183" t="str">
            <v>Amjad Ilwan</v>
          </cell>
          <cell r="E3183" t="str">
            <v>TRE</v>
          </cell>
          <cell r="F3183" t="str">
            <v>AM</v>
          </cell>
          <cell r="H3183">
            <v>90</v>
          </cell>
          <cell r="I3183">
            <v>36596.608270190001</v>
          </cell>
        </row>
        <row r="3184">
          <cell r="A3184">
            <v>45413</v>
          </cell>
          <cell r="B3184" t="str">
            <v>Ehab Hajou</v>
          </cell>
          <cell r="E3184" t="str">
            <v>TRE</v>
          </cell>
          <cell r="F3184" t="str">
            <v>AM</v>
          </cell>
          <cell r="H3184">
            <v>120</v>
          </cell>
          <cell r="I3184">
            <v>41596.608270190001</v>
          </cell>
        </row>
        <row r="3185">
          <cell r="A3185">
            <v>45413</v>
          </cell>
          <cell r="B3185" t="str">
            <v>Fadi Saleh</v>
          </cell>
          <cell r="E3185" t="str">
            <v>TRE</v>
          </cell>
          <cell r="F3185" t="str">
            <v>AM</v>
          </cell>
          <cell r="H3185">
            <v>80</v>
          </cell>
          <cell r="I3185">
            <v>34596.608270190001</v>
          </cell>
        </row>
        <row r="3186">
          <cell r="A3186">
            <v>45413</v>
          </cell>
          <cell r="B3186" t="str">
            <v>Majid Abdulla</v>
          </cell>
          <cell r="E3186" t="str">
            <v>TRE</v>
          </cell>
          <cell r="F3186" t="str">
            <v>AM</v>
          </cell>
          <cell r="H3186">
            <v>49</v>
          </cell>
          <cell r="I3186">
            <v>29596.608270190001</v>
          </cell>
        </row>
        <row r="3187">
          <cell r="A3187">
            <v>45413</v>
          </cell>
          <cell r="B3187" t="str">
            <v>Mehfooz Mir</v>
          </cell>
          <cell r="E3187" t="str">
            <v>TRE</v>
          </cell>
          <cell r="F3187" t="str">
            <v>AM</v>
          </cell>
          <cell r="H3187">
            <v>100</v>
          </cell>
          <cell r="I3187">
            <v>36596.608270190001</v>
          </cell>
        </row>
        <row r="3188">
          <cell r="A3188">
            <v>45413</v>
          </cell>
          <cell r="B3188" t="str">
            <v>Mostafa Mekawy</v>
          </cell>
          <cell r="E3188" t="str">
            <v>TRE</v>
          </cell>
          <cell r="F3188" t="str">
            <v>AM</v>
          </cell>
          <cell r="H3188">
            <v>100</v>
          </cell>
          <cell r="I3188">
            <v>41596.608270190001</v>
          </cell>
        </row>
        <row r="3189">
          <cell r="A3189">
            <v>45413</v>
          </cell>
          <cell r="B3189" t="str">
            <v>Rijith Menon</v>
          </cell>
          <cell r="E3189" t="str">
            <v>TRE</v>
          </cell>
          <cell r="F3189" t="str">
            <v>AM</v>
          </cell>
          <cell r="H3189">
            <v>120</v>
          </cell>
          <cell r="I3189">
            <v>41596.608270190001</v>
          </cell>
        </row>
        <row r="3190">
          <cell r="A3190">
            <v>45413</v>
          </cell>
          <cell r="B3190" t="str">
            <v>Suleiman Wanni</v>
          </cell>
          <cell r="E3190" t="str">
            <v>TRE</v>
          </cell>
          <cell r="F3190" t="str">
            <v>AM</v>
          </cell>
          <cell r="H3190">
            <v>90</v>
          </cell>
          <cell r="I3190">
            <v>41596.608270190001</v>
          </cell>
        </row>
        <row r="3191">
          <cell r="A3191">
            <v>45413</v>
          </cell>
          <cell r="B3191" t="str">
            <v>Waseem Suhaf</v>
          </cell>
          <cell r="E3191" t="str">
            <v>TRE</v>
          </cell>
          <cell r="F3191" t="str">
            <v>AM</v>
          </cell>
          <cell r="H3191">
            <v>90</v>
          </cell>
          <cell r="I3191">
            <v>41790.961193290299</v>
          </cell>
        </row>
        <row r="3192">
          <cell r="A3192">
            <v>45413</v>
          </cell>
          <cell r="B3192" t="str">
            <v>Muhammad Shahzad Hasan</v>
          </cell>
          <cell r="E3192" t="str">
            <v>TRM</v>
          </cell>
          <cell r="F3192" t="str">
            <v>D</v>
          </cell>
          <cell r="H3192">
            <v>944.82211337978958</v>
          </cell>
          <cell r="I3192">
            <v>162225.47312499999</v>
          </cell>
        </row>
        <row r="3193">
          <cell r="A3193">
            <v>45413</v>
          </cell>
          <cell r="B3193" t="str">
            <v>Eslam Hassan</v>
          </cell>
          <cell r="E3193" t="str">
            <v>TRM</v>
          </cell>
          <cell r="F3193" t="str">
            <v>AM</v>
          </cell>
          <cell r="H3193">
            <v>100</v>
          </cell>
          <cell r="I3193">
            <v>20278</v>
          </cell>
        </row>
        <row r="3194">
          <cell r="A3194">
            <v>45413</v>
          </cell>
          <cell r="B3194" t="str">
            <v>Khaled Abdelaziz</v>
          </cell>
          <cell r="E3194" t="str">
            <v>TRM</v>
          </cell>
          <cell r="F3194" t="str">
            <v>AM</v>
          </cell>
          <cell r="H3194">
            <v>100</v>
          </cell>
          <cell r="I3194">
            <v>20278</v>
          </cell>
        </row>
        <row r="3195">
          <cell r="A3195">
            <v>45413</v>
          </cell>
          <cell r="B3195" t="str">
            <v>Mohamad Labban</v>
          </cell>
          <cell r="E3195" t="str">
            <v>TRM</v>
          </cell>
          <cell r="F3195" t="str">
            <v>AM</v>
          </cell>
          <cell r="H3195">
            <v>100</v>
          </cell>
          <cell r="I3195">
            <v>20278</v>
          </cell>
        </row>
        <row r="3196">
          <cell r="A3196">
            <v>45413</v>
          </cell>
          <cell r="B3196" t="str">
            <v>Mohamed Kishk</v>
          </cell>
          <cell r="E3196" t="str">
            <v>TRM</v>
          </cell>
          <cell r="F3196" t="str">
            <v>AM</v>
          </cell>
          <cell r="H3196">
            <v>245</v>
          </cell>
          <cell r="I3196">
            <v>20278</v>
          </cell>
        </row>
        <row r="3197">
          <cell r="A3197">
            <v>45413</v>
          </cell>
          <cell r="B3197" t="str">
            <v>Mushahid Hussain Syed</v>
          </cell>
          <cell r="E3197" t="str">
            <v>TRM</v>
          </cell>
          <cell r="F3197" t="str">
            <v>AM</v>
          </cell>
          <cell r="H3197">
            <v>100</v>
          </cell>
          <cell r="I3197">
            <v>20278</v>
          </cell>
        </row>
        <row r="3198">
          <cell r="A3198">
            <v>45413</v>
          </cell>
          <cell r="B3198" t="str">
            <v>Peter Sedrak</v>
          </cell>
          <cell r="E3198" t="str">
            <v>TRM</v>
          </cell>
          <cell r="F3198" t="str">
            <v>AM</v>
          </cell>
          <cell r="H3198">
            <v>100</v>
          </cell>
          <cell r="I3198">
            <v>20278</v>
          </cell>
        </row>
        <row r="3199">
          <cell r="A3199">
            <v>45413</v>
          </cell>
          <cell r="B3199" t="str">
            <v>Shabbir Lacewala</v>
          </cell>
          <cell r="E3199" t="str">
            <v>TRM</v>
          </cell>
          <cell r="F3199" t="str">
            <v>AM</v>
          </cell>
          <cell r="H3199">
            <v>100</v>
          </cell>
          <cell r="I3199">
            <v>20278</v>
          </cell>
        </row>
        <row r="3200">
          <cell r="A3200">
            <v>45413</v>
          </cell>
          <cell r="B3200" t="str">
            <v>Simon Williams</v>
          </cell>
          <cell r="E3200" t="str">
            <v>TRM</v>
          </cell>
          <cell r="F3200" t="str">
            <v>AM</v>
          </cell>
          <cell r="H3200">
            <v>100</v>
          </cell>
          <cell r="I3200">
            <v>20279</v>
          </cell>
        </row>
        <row r="3201">
          <cell r="A3201">
            <v>45413</v>
          </cell>
          <cell r="B3201" t="str">
            <v>Abdulghaffar Alkhaja</v>
          </cell>
          <cell r="E3201" t="str">
            <v>TRM</v>
          </cell>
          <cell r="F3201" t="str">
            <v>AM</v>
          </cell>
          <cell r="H3201">
            <v>50</v>
          </cell>
          <cell r="I3201">
            <v>5000</v>
          </cell>
        </row>
        <row r="3202">
          <cell r="A3202">
            <v>45444</v>
          </cell>
          <cell r="B3202" t="str">
            <v>Khalid Karmastaji</v>
          </cell>
          <cell r="E3202" t="str">
            <v>AUH</v>
          </cell>
          <cell r="F3202" t="str">
            <v>D</v>
          </cell>
          <cell r="H3202">
            <v>0</v>
          </cell>
          <cell r="I3202">
            <v>322235.00000000006</v>
          </cell>
        </row>
        <row r="3203">
          <cell r="A3203">
            <v>45444</v>
          </cell>
          <cell r="B3203" t="str">
            <v>Ammar Alqudsi</v>
          </cell>
          <cell r="E3203" t="str">
            <v>AUH</v>
          </cell>
          <cell r="F3203" t="str">
            <v>AM</v>
          </cell>
          <cell r="H3203">
            <v>0</v>
          </cell>
          <cell r="I3203">
            <v>53000</v>
          </cell>
        </row>
        <row r="3204">
          <cell r="A3204">
            <v>45444</v>
          </cell>
          <cell r="B3204" t="str">
            <v>Khamis Almakrani</v>
          </cell>
          <cell r="E3204" t="str">
            <v>AUH</v>
          </cell>
          <cell r="F3204" t="str">
            <v>AM</v>
          </cell>
          <cell r="H3204">
            <v>0</v>
          </cell>
          <cell r="I3204">
            <v>63000</v>
          </cell>
        </row>
        <row r="3205">
          <cell r="A3205">
            <v>45444</v>
          </cell>
          <cell r="B3205" t="str">
            <v>Muhammad Nauman Khan</v>
          </cell>
          <cell r="E3205" t="str">
            <v>AUH</v>
          </cell>
          <cell r="F3205" t="str">
            <v>AM</v>
          </cell>
          <cell r="H3205">
            <v>0</v>
          </cell>
          <cell r="I3205">
            <v>90235</v>
          </cell>
        </row>
        <row r="3206">
          <cell r="A3206">
            <v>45444</v>
          </cell>
          <cell r="B3206" t="str">
            <v>Omar AlHammadi</v>
          </cell>
          <cell r="E3206" t="str">
            <v>AUH</v>
          </cell>
          <cell r="F3206" t="str">
            <v>AM</v>
          </cell>
          <cell r="H3206">
            <v>0</v>
          </cell>
          <cell r="I3206">
            <v>53000</v>
          </cell>
        </row>
        <row r="3207">
          <cell r="A3207">
            <v>45444</v>
          </cell>
          <cell r="B3207" t="str">
            <v>Tarek Solh</v>
          </cell>
          <cell r="E3207" t="str">
            <v>AUH</v>
          </cell>
          <cell r="F3207" t="str">
            <v>AM</v>
          </cell>
          <cell r="H3207">
            <v>0</v>
          </cell>
          <cell r="I3207">
            <v>63000</v>
          </cell>
        </row>
        <row r="3208">
          <cell r="A3208">
            <v>45444</v>
          </cell>
          <cell r="B3208" t="str">
            <v>Mohamad Amer Sibai</v>
          </cell>
          <cell r="E3208" t="str">
            <v>DXB</v>
          </cell>
          <cell r="F3208" t="str">
            <v>D</v>
          </cell>
          <cell r="H3208">
            <v>0</v>
          </cell>
          <cell r="I3208">
            <v>169211.00000000003</v>
          </cell>
        </row>
        <row r="3209">
          <cell r="A3209">
            <v>45444</v>
          </cell>
          <cell r="B3209" t="str">
            <v>Ali Alzarooni</v>
          </cell>
          <cell r="E3209" t="str">
            <v>DXB</v>
          </cell>
          <cell r="F3209" t="str">
            <v>AM</v>
          </cell>
          <cell r="H3209">
            <v>0</v>
          </cell>
          <cell r="I3209">
            <v>40211</v>
          </cell>
        </row>
        <row r="3210">
          <cell r="A3210">
            <v>45444</v>
          </cell>
          <cell r="B3210" t="str">
            <v>Humaid Al Ali</v>
          </cell>
          <cell r="E3210" t="str">
            <v>DXB</v>
          </cell>
          <cell r="F3210" t="str">
            <v>AM</v>
          </cell>
          <cell r="H3210">
            <v>0</v>
          </cell>
          <cell r="I3210">
            <v>15000</v>
          </cell>
        </row>
        <row r="3211">
          <cell r="A3211">
            <v>45444</v>
          </cell>
          <cell r="B3211" t="str">
            <v>Mohamed Mady</v>
          </cell>
          <cell r="E3211" t="str">
            <v>DXB</v>
          </cell>
          <cell r="F3211" t="str">
            <v>AM</v>
          </cell>
          <cell r="H3211">
            <v>0</v>
          </cell>
          <cell r="I3211">
            <v>15000</v>
          </cell>
        </row>
        <row r="3212">
          <cell r="A3212">
            <v>45444</v>
          </cell>
          <cell r="B3212" t="str">
            <v>Ramzi Gholmieh</v>
          </cell>
          <cell r="E3212" t="str">
            <v>DXB</v>
          </cell>
          <cell r="F3212" t="str">
            <v>AM</v>
          </cell>
          <cell r="H3212">
            <v>0</v>
          </cell>
          <cell r="I3212">
            <v>74000</v>
          </cell>
        </row>
        <row r="3213">
          <cell r="A3213">
            <v>45444</v>
          </cell>
          <cell r="B3213" t="str">
            <v>Talal Ahmed Ali Alsharhan</v>
          </cell>
          <cell r="E3213" t="str">
            <v>DXB</v>
          </cell>
          <cell r="F3213" t="str">
            <v>AM</v>
          </cell>
          <cell r="H3213">
            <v>0</v>
          </cell>
          <cell r="I3213">
            <v>25000</v>
          </cell>
        </row>
        <row r="3214">
          <cell r="A3214">
            <v>45444</v>
          </cell>
          <cell r="B3214" t="str">
            <v>Khaled Alawadi</v>
          </cell>
          <cell r="E3214" t="str">
            <v>F-NE</v>
          </cell>
          <cell r="F3214" t="str">
            <v>D</v>
          </cell>
          <cell r="H3214">
            <v>0</v>
          </cell>
          <cell r="I3214">
            <v>50680.000000000015</v>
          </cell>
        </row>
        <row r="3215">
          <cell r="A3215">
            <v>45444</v>
          </cell>
          <cell r="B3215" t="str">
            <v>Bader Al Shehhi</v>
          </cell>
          <cell r="E3215" t="str">
            <v>F-NE</v>
          </cell>
          <cell r="F3215" t="str">
            <v>AM</v>
          </cell>
          <cell r="H3215">
            <v>0</v>
          </cell>
          <cell r="I3215">
            <v>6900</v>
          </cell>
        </row>
        <row r="3216">
          <cell r="A3216">
            <v>45444</v>
          </cell>
          <cell r="B3216" t="str">
            <v>Bashar Al Adilee</v>
          </cell>
          <cell r="E3216" t="str">
            <v>F-NE</v>
          </cell>
          <cell r="F3216" t="str">
            <v>AM</v>
          </cell>
          <cell r="H3216">
            <v>0</v>
          </cell>
          <cell r="I3216">
            <v>10000</v>
          </cell>
        </row>
        <row r="3217">
          <cell r="A3217">
            <v>45444</v>
          </cell>
          <cell r="B3217" t="str">
            <v>Khalid Mohammed</v>
          </cell>
          <cell r="E3217" t="str">
            <v>F-NE</v>
          </cell>
          <cell r="F3217" t="str">
            <v>AM</v>
          </cell>
          <cell r="H3217">
            <v>0</v>
          </cell>
          <cell r="I3217">
            <v>6880</v>
          </cell>
        </row>
        <row r="3218">
          <cell r="A3218">
            <v>45444</v>
          </cell>
          <cell r="B3218" t="str">
            <v>Majd Nairoukh</v>
          </cell>
          <cell r="E3218" t="str">
            <v>F-NE</v>
          </cell>
          <cell r="F3218" t="str">
            <v>AM</v>
          </cell>
          <cell r="H3218">
            <v>0</v>
          </cell>
          <cell r="I3218">
            <v>10000</v>
          </cell>
        </row>
        <row r="3219">
          <cell r="A3219">
            <v>45444</v>
          </cell>
          <cell r="B3219" t="str">
            <v>Nader AlMustafa</v>
          </cell>
          <cell r="E3219" t="str">
            <v>F-NE</v>
          </cell>
          <cell r="F3219" t="str">
            <v>AM</v>
          </cell>
          <cell r="H3219">
            <v>0</v>
          </cell>
          <cell r="I3219">
            <v>10000</v>
          </cell>
        </row>
        <row r="3220">
          <cell r="A3220">
            <v>45444</v>
          </cell>
          <cell r="B3220" t="str">
            <v>Yousef Al Baloushi</v>
          </cell>
          <cell r="E3220" t="str">
            <v>F-NE</v>
          </cell>
          <cell r="F3220" t="str">
            <v>AM</v>
          </cell>
          <cell r="H3220">
            <v>0</v>
          </cell>
          <cell r="I3220">
            <v>6900</v>
          </cell>
        </row>
        <row r="3221">
          <cell r="A3221">
            <v>45444</v>
          </cell>
          <cell r="B3221" t="str">
            <v>Mazen Adem</v>
          </cell>
          <cell r="E3221" t="str">
            <v>FOGH</v>
          </cell>
          <cell r="F3221" t="str">
            <v>D</v>
          </cell>
          <cell r="H3221">
            <v>1212</v>
          </cell>
          <cell r="I3221">
            <v>394942</v>
          </cell>
        </row>
        <row r="3222">
          <cell r="A3222">
            <v>45444</v>
          </cell>
          <cell r="B3222" t="str">
            <v>Abdel Azim Sharabati</v>
          </cell>
          <cell r="E3222" t="str">
            <v>FOGH</v>
          </cell>
          <cell r="F3222" t="str">
            <v>AM</v>
          </cell>
          <cell r="H3222">
            <v>80</v>
          </cell>
          <cell r="I3222">
            <v>65000</v>
          </cell>
        </row>
        <row r="3223">
          <cell r="A3223">
            <v>45444</v>
          </cell>
          <cell r="B3223" t="str">
            <v>Abraham Cherian</v>
          </cell>
          <cell r="E3223" t="str">
            <v>FOGH</v>
          </cell>
          <cell r="F3223" t="str">
            <v>AM</v>
          </cell>
          <cell r="H3223">
            <v>200</v>
          </cell>
          <cell r="I3223">
            <v>55000</v>
          </cell>
        </row>
        <row r="3224">
          <cell r="A3224">
            <v>45444</v>
          </cell>
          <cell r="B3224" t="str">
            <v>Arjun Subaraman</v>
          </cell>
          <cell r="E3224" t="str">
            <v>FOGH</v>
          </cell>
          <cell r="F3224" t="str">
            <v>AM</v>
          </cell>
          <cell r="H3224">
            <v>86</v>
          </cell>
          <cell r="I3224">
            <v>40000</v>
          </cell>
        </row>
        <row r="3225">
          <cell r="A3225">
            <v>45444</v>
          </cell>
          <cell r="B3225" t="str">
            <v>Ghassan Fouany</v>
          </cell>
          <cell r="E3225" t="str">
            <v>FOGH</v>
          </cell>
          <cell r="F3225" t="str">
            <v>AM</v>
          </cell>
          <cell r="H3225">
            <v>180</v>
          </cell>
          <cell r="I3225">
            <v>18000</v>
          </cell>
        </row>
        <row r="3226">
          <cell r="A3226">
            <v>45444</v>
          </cell>
          <cell r="B3226" t="str">
            <v>Inayat Fazili</v>
          </cell>
          <cell r="E3226" t="str">
            <v>FOGH</v>
          </cell>
          <cell r="F3226" t="str">
            <v>AM</v>
          </cell>
          <cell r="H3226">
            <v>100</v>
          </cell>
          <cell r="I3226">
            <v>75000</v>
          </cell>
        </row>
        <row r="3227">
          <cell r="A3227">
            <v>45444</v>
          </cell>
          <cell r="B3227" t="str">
            <v>Mohamed Mostafa</v>
          </cell>
          <cell r="E3227" t="str">
            <v>FOGH</v>
          </cell>
          <cell r="F3227" t="str">
            <v>AM</v>
          </cell>
          <cell r="H3227">
            <v>86</v>
          </cell>
          <cell r="I3227">
            <v>61942</v>
          </cell>
        </row>
        <row r="3228">
          <cell r="A3228">
            <v>45444</v>
          </cell>
          <cell r="B3228" t="str">
            <v>Mohd Sheikh Salem</v>
          </cell>
          <cell r="E3228" t="str">
            <v>FOGH</v>
          </cell>
          <cell r="F3228" t="str">
            <v>AM</v>
          </cell>
          <cell r="H3228">
            <v>190</v>
          </cell>
          <cell r="I3228">
            <v>40000</v>
          </cell>
        </row>
        <row r="3229">
          <cell r="A3229">
            <v>45444</v>
          </cell>
          <cell r="B3229" t="str">
            <v>Nadeem Rasheed</v>
          </cell>
          <cell r="E3229" t="str">
            <v>FOGH</v>
          </cell>
          <cell r="F3229" t="str">
            <v>AM</v>
          </cell>
          <cell r="H3229">
            <v>190</v>
          </cell>
          <cell r="I3229">
            <v>25000</v>
          </cell>
        </row>
        <row r="3230">
          <cell r="A3230">
            <v>45444</v>
          </cell>
          <cell r="B3230" t="str">
            <v>Ramy Abdel Fattah</v>
          </cell>
          <cell r="E3230" t="str">
            <v>FOGH</v>
          </cell>
          <cell r="F3230" t="str">
            <v>AM</v>
          </cell>
          <cell r="H3230">
            <v>100</v>
          </cell>
          <cell r="I3230">
            <v>15000</v>
          </cell>
        </row>
        <row r="3231">
          <cell r="A3231">
            <v>45444</v>
          </cell>
          <cell r="B3231" t="str">
            <v>Mohamed AlZarooni</v>
          </cell>
          <cell r="E3231" t="str">
            <v>HUNT</v>
          </cell>
          <cell r="F3231" t="str">
            <v>D</v>
          </cell>
          <cell r="H3231">
            <v>257</v>
          </cell>
          <cell r="I3231">
            <v>111306.00000000001</v>
          </cell>
        </row>
        <row r="3232">
          <cell r="A3232">
            <v>45444</v>
          </cell>
          <cell r="B3232" t="str">
            <v>Adnan Bashir</v>
          </cell>
          <cell r="E3232" t="str">
            <v>HUNT</v>
          </cell>
          <cell r="F3232" t="str">
            <v>AM</v>
          </cell>
          <cell r="H3232">
            <v>49</v>
          </cell>
          <cell r="I3232">
            <v>12826</v>
          </cell>
        </row>
        <row r="3233">
          <cell r="A3233">
            <v>45444</v>
          </cell>
          <cell r="B3233" t="str">
            <v>Ammar Aladily</v>
          </cell>
          <cell r="E3233" t="str">
            <v>HUNT</v>
          </cell>
          <cell r="F3233" t="str">
            <v>AM</v>
          </cell>
          <cell r="H3233">
            <v>100</v>
          </cell>
          <cell r="I3233">
            <v>12826</v>
          </cell>
        </row>
        <row r="3234">
          <cell r="A3234">
            <v>45444</v>
          </cell>
          <cell r="B3234" t="str">
            <v>Anastasia Maltseva</v>
          </cell>
          <cell r="E3234" t="str">
            <v>HUNT</v>
          </cell>
          <cell r="F3234" t="str">
            <v>AM</v>
          </cell>
          <cell r="H3234">
            <v>48</v>
          </cell>
          <cell r="I3234">
            <v>12826</v>
          </cell>
        </row>
        <row r="3235">
          <cell r="A3235">
            <v>45444</v>
          </cell>
          <cell r="B3235" t="str">
            <v>Favas Kurinhilayil</v>
          </cell>
          <cell r="E3235" t="str">
            <v>HUNT</v>
          </cell>
          <cell r="F3235" t="str">
            <v>AM</v>
          </cell>
          <cell r="H3235">
            <v>30</v>
          </cell>
          <cell r="I3235">
            <v>60000</v>
          </cell>
        </row>
        <row r="3236">
          <cell r="A3236">
            <v>45444</v>
          </cell>
          <cell r="B3236" t="str">
            <v>Othman Hassan</v>
          </cell>
          <cell r="E3236" t="str">
            <v>HUNT</v>
          </cell>
          <cell r="F3236" t="str">
            <v>AM</v>
          </cell>
          <cell r="H3236">
            <v>30</v>
          </cell>
          <cell r="I3236">
            <v>12828</v>
          </cell>
        </row>
        <row r="3237">
          <cell r="A3237">
            <v>45444</v>
          </cell>
          <cell r="B3237" t="str">
            <v>Hany Jawee</v>
          </cell>
          <cell r="E3237" t="str">
            <v>TRE</v>
          </cell>
          <cell r="F3237" t="str">
            <v>D</v>
          </cell>
          <cell r="H3237">
            <v>1000</v>
          </cell>
          <cell r="I3237">
            <v>387243.00000000006</v>
          </cell>
        </row>
        <row r="3238">
          <cell r="A3238">
            <v>45444</v>
          </cell>
          <cell r="B3238" t="str">
            <v>Ahmad Ozdamir</v>
          </cell>
          <cell r="E3238" t="str">
            <v>TRE</v>
          </cell>
          <cell r="F3238" t="str">
            <v>AM</v>
          </cell>
          <cell r="H3238">
            <v>80</v>
          </cell>
          <cell r="I3238">
            <v>32804.326408785899</v>
          </cell>
        </row>
        <row r="3239">
          <cell r="A3239">
            <v>45444</v>
          </cell>
          <cell r="B3239" t="str">
            <v>Amjad Ilwan</v>
          </cell>
          <cell r="E3239" t="str">
            <v>TRE</v>
          </cell>
          <cell r="F3239" t="str">
            <v>AM</v>
          </cell>
          <cell r="H3239">
            <v>80</v>
          </cell>
          <cell r="I3239">
            <v>32804.326408785899</v>
          </cell>
        </row>
        <row r="3240">
          <cell r="A3240">
            <v>45444</v>
          </cell>
          <cell r="B3240" t="str">
            <v>Ehab Hajou</v>
          </cell>
          <cell r="E3240" t="str">
            <v>TRE</v>
          </cell>
          <cell r="F3240" t="str">
            <v>AM</v>
          </cell>
          <cell r="H3240">
            <v>100</v>
          </cell>
          <cell r="I3240">
            <v>33804.326408785899</v>
          </cell>
        </row>
        <row r="3241">
          <cell r="A3241">
            <v>45444</v>
          </cell>
          <cell r="B3241" t="str">
            <v>Fadi Saleh</v>
          </cell>
          <cell r="E3241" t="str">
            <v>TRE</v>
          </cell>
          <cell r="F3241" t="str">
            <v>AM</v>
          </cell>
          <cell r="H3241">
            <v>80</v>
          </cell>
          <cell r="I3241">
            <v>21804.326408785899</v>
          </cell>
        </row>
        <row r="3242">
          <cell r="A3242">
            <v>45444</v>
          </cell>
          <cell r="B3242" t="str">
            <v>Majid Abdulla</v>
          </cell>
          <cell r="E3242" t="str">
            <v>TRE</v>
          </cell>
          <cell r="F3242" t="str">
            <v>AM</v>
          </cell>
          <cell r="H3242">
            <v>100</v>
          </cell>
          <cell r="I3242">
            <v>85804.326408785899</v>
          </cell>
        </row>
        <row r="3243">
          <cell r="A3243">
            <v>45444</v>
          </cell>
          <cell r="B3243" t="str">
            <v>Mehfooz Mir</v>
          </cell>
          <cell r="E3243" t="str">
            <v>TRE</v>
          </cell>
          <cell r="F3243" t="str">
            <v>AM</v>
          </cell>
          <cell r="H3243">
            <v>100</v>
          </cell>
          <cell r="I3243">
            <v>23804.326408785899</v>
          </cell>
        </row>
        <row r="3244">
          <cell r="A3244">
            <v>45444</v>
          </cell>
          <cell r="B3244" t="str">
            <v>Mostafa Mekawy</v>
          </cell>
          <cell r="E3244" t="str">
            <v>TRE</v>
          </cell>
          <cell r="F3244" t="str">
            <v>AM</v>
          </cell>
          <cell r="H3244">
            <v>80</v>
          </cell>
          <cell r="I3244">
            <v>31804.326408785866</v>
          </cell>
        </row>
        <row r="3245">
          <cell r="A3245">
            <v>45444</v>
          </cell>
          <cell r="B3245" t="str">
            <v>Rijith Menon</v>
          </cell>
          <cell r="E3245" t="str">
            <v>TRE</v>
          </cell>
          <cell r="F3245" t="str">
            <v>AM</v>
          </cell>
          <cell r="H3245">
            <v>150</v>
          </cell>
          <cell r="I3245">
            <v>21804.326408785899</v>
          </cell>
        </row>
        <row r="3246">
          <cell r="A3246">
            <v>45444</v>
          </cell>
          <cell r="B3246" t="str">
            <v>Suleiman Wanni</v>
          </cell>
          <cell r="E3246" t="str">
            <v>TRE</v>
          </cell>
          <cell r="F3246" t="str">
            <v>AM</v>
          </cell>
          <cell r="H3246">
            <v>80</v>
          </cell>
          <cell r="I3246">
            <v>81804.326408785899</v>
          </cell>
        </row>
        <row r="3247">
          <cell r="A3247">
            <v>45444</v>
          </cell>
          <cell r="B3247" t="str">
            <v>Waseem Suhaf</v>
          </cell>
          <cell r="E3247" t="str">
            <v>TRE</v>
          </cell>
          <cell r="F3247" t="str">
            <v>AM</v>
          </cell>
          <cell r="H3247">
            <v>150</v>
          </cell>
          <cell r="I3247">
            <v>21004.062320927002</v>
          </cell>
        </row>
        <row r="3248">
          <cell r="A3248">
            <v>45444</v>
          </cell>
          <cell r="B3248" t="str">
            <v>Muhammad Shahzad Hasan</v>
          </cell>
          <cell r="E3248" t="str">
            <v>TRM</v>
          </cell>
          <cell r="F3248" t="str">
            <v>D</v>
          </cell>
          <cell r="H3248">
            <v>1040</v>
          </cell>
          <cell r="I3248">
            <v>164383</v>
          </cell>
        </row>
        <row r="3249">
          <cell r="A3249">
            <v>45444</v>
          </cell>
          <cell r="B3249" t="str">
            <v>Eslam Hassan</v>
          </cell>
          <cell r="E3249" t="str">
            <v>TRM</v>
          </cell>
          <cell r="F3249" t="str">
            <v>AM</v>
          </cell>
          <cell r="H3249">
            <v>78</v>
          </cell>
          <cell r="I3249">
            <v>20548</v>
          </cell>
        </row>
        <row r="3250">
          <cell r="A3250">
            <v>45444</v>
          </cell>
          <cell r="B3250" t="str">
            <v>Khaled Abdelaziz</v>
          </cell>
          <cell r="E3250" t="str">
            <v>TRM</v>
          </cell>
          <cell r="F3250" t="str">
            <v>AM</v>
          </cell>
          <cell r="H3250">
            <v>77</v>
          </cell>
          <cell r="I3250">
            <v>20547</v>
          </cell>
        </row>
        <row r="3251">
          <cell r="A3251">
            <v>45444</v>
          </cell>
          <cell r="B3251" t="str">
            <v>Mohamad Labban</v>
          </cell>
          <cell r="E3251" t="str">
            <v>TRM</v>
          </cell>
          <cell r="F3251" t="str">
            <v>AM</v>
          </cell>
          <cell r="H3251">
            <v>77</v>
          </cell>
          <cell r="I3251">
            <v>20550</v>
          </cell>
        </row>
        <row r="3252">
          <cell r="A3252">
            <v>45444</v>
          </cell>
          <cell r="B3252" t="str">
            <v>Mohamed Kishk</v>
          </cell>
          <cell r="E3252" t="str">
            <v>TRM</v>
          </cell>
          <cell r="F3252" t="str">
            <v>AM</v>
          </cell>
          <cell r="H3252">
            <v>500</v>
          </cell>
          <cell r="I3252">
            <v>20550</v>
          </cell>
        </row>
        <row r="3253">
          <cell r="A3253">
            <v>45444</v>
          </cell>
          <cell r="B3253" t="str">
            <v>Mushahid Hussain Syed</v>
          </cell>
          <cell r="E3253" t="str">
            <v>TRM</v>
          </cell>
          <cell r="F3253" t="str">
            <v>AM</v>
          </cell>
          <cell r="H3253">
            <v>77</v>
          </cell>
          <cell r="I3253">
            <v>20547</v>
          </cell>
        </row>
        <row r="3254">
          <cell r="A3254">
            <v>45444</v>
          </cell>
          <cell r="B3254" t="str">
            <v>Peter Sedrak</v>
          </cell>
          <cell r="E3254" t="str">
            <v>TRM</v>
          </cell>
          <cell r="F3254" t="str">
            <v>AM</v>
          </cell>
          <cell r="H3254">
            <v>77</v>
          </cell>
          <cell r="I3254">
            <v>20547</v>
          </cell>
        </row>
        <row r="3255">
          <cell r="A3255">
            <v>45444</v>
          </cell>
          <cell r="B3255" t="str">
            <v>Shabbir Lacewala</v>
          </cell>
          <cell r="E3255" t="str">
            <v>TRM</v>
          </cell>
          <cell r="F3255" t="str">
            <v>AM</v>
          </cell>
          <cell r="H3255">
            <v>77</v>
          </cell>
          <cell r="I3255">
            <v>20547</v>
          </cell>
        </row>
        <row r="3256">
          <cell r="A3256">
            <v>45444</v>
          </cell>
          <cell r="B3256" t="str">
            <v>Simon Williams</v>
          </cell>
          <cell r="E3256" t="str">
            <v>TRM</v>
          </cell>
          <cell r="F3256" t="str">
            <v>AM</v>
          </cell>
          <cell r="H3256">
            <v>77</v>
          </cell>
          <cell r="I3256">
            <v>20547</v>
          </cell>
        </row>
        <row r="3257">
          <cell r="A3257">
            <v>45474</v>
          </cell>
          <cell r="B3257" t="str">
            <v>Khalid Karmastaji</v>
          </cell>
          <cell r="E3257" t="str">
            <v>AUH</v>
          </cell>
          <cell r="F3257" t="str">
            <v>D</v>
          </cell>
          <cell r="H3257">
            <v>0</v>
          </cell>
          <cell r="I3257">
            <v>281955.625</v>
          </cell>
        </row>
        <row r="3258">
          <cell r="A3258">
            <v>45474</v>
          </cell>
          <cell r="B3258" t="str">
            <v>Ammar Alqudsi</v>
          </cell>
          <cell r="E3258" t="str">
            <v>AUH</v>
          </cell>
          <cell r="F3258" t="str">
            <v>AM</v>
          </cell>
          <cell r="H3258">
            <v>0</v>
          </cell>
          <cell r="I3258">
            <v>56391.125</v>
          </cell>
        </row>
        <row r="3259">
          <cell r="A3259">
            <v>45474</v>
          </cell>
          <cell r="B3259" t="str">
            <v>Khamis Almakrani</v>
          </cell>
          <cell r="E3259" t="str">
            <v>AUH</v>
          </cell>
          <cell r="F3259" t="str">
            <v>AM</v>
          </cell>
          <cell r="H3259">
            <v>0</v>
          </cell>
          <cell r="I3259">
            <v>56391.125</v>
          </cell>
        </row>
        <row r="3260">
          <cell r="A3260">
            <v>45474</v>
          </cell>
          <cell r="B3260" t="str">
            <v>Muhammad Nauman Khan</v>
          </cell>
          <cell r="E3260" t="str">
            <v>AUH</v>
          </cell>
          <cell r="F3260" t="str">
            <v>AM</v>
          </cell>
          <cell r="H3260">
            <v>0</v>
          </cell>
          <cell r="I3260">
            <v>56391.125</v>
          </cell>
        </row>
        <row r="3261">
          <cell r="A3261">
            <v>45474</v>
          </cell>
          <cell r="B3261" t="str">
            <v>Omar AlHammadi</v>
          </cell>
          <cell r="E3261" t="str">
            <v>AUH</v>
          </cell>
          <cell r="F3261" t="str">
            <v>AM</v>
          </cell>
          <cell r="H3261">
            <v>0</v>
          </cell>
          <cell r="I3261">
            <v>56391.125</v>
          </cell>
        </row>
        <row r="3262">
          <cell r="A3262">
            <v>45474</v>
          </cell>
          <cell r="B3262" t="str">
            <v>Tarek Solh</v>
          </cell>
          <cell r="E3262" t="str">
            <v>AUH</v>
          </cell>
          <cell r="F3262" t="str">
            <v>AM</v>
          </cell>
          <cell r="H3262">
            <v>0</v>
          </cell>
          <cell r="I3262">
            <v>56391.125</v>
          </cell>
        </row>
        <row r="3263">
          <cell r="A3263">
            <v>45474</v>
          </cell>
          <cell r="B3263" t="str">
            <v>Mohamad Amer Sibai</v>
          </cell>
          <cell r="E3263" t="str">
            <v>DXB</v>
          </cell>
          <cell r="F3263" t="str">
            <v>D</v>
          </cell>
          <cell r="H3263">
            <v>0</v>
          </cell>
          <cell r="I3263">
            <v>162059.625</v>
          </cell>
        </row>
        <row r="3264">
          <cell r="A3264">
            <v>45474</v>
          </cell>
          <cell r="B3264" t="str">
            <v>Ali Alzarooni</v>
          </cell>
          <cell r="E3264" t="str">
            <v>DXB</v>
          </cell>
          <cell r="F3264" t="str">
            <v>AM</v>
          </cell>
          <cell r="H3264">
            <v>0</v>
          </cell>
          <cell r="I3264">
            <v>45000</v>
          </cell>
        </row>
        <row r="3265">
          <cell r="A3265">
            <v>45474</v>
          </cell>
          <cell r="B3265" t="str">
            <v>Humaid Al Ali</v>
          </cell>
          <cell r="E3265" t="str">
            <v>DXB</v>
          </cell>
          <cell r="F3265" t="str">
            <v>AM</v>
          </cell>
          <cell r="H3265">
            <v>0</v>
          </cell>
          <cell r="I3265">
            <v>25000</v>
          </cell>
        </row>
        <row r="3266">
          <cell r="A3266">
            <v>45474</v>
          </cell>
          <cell r="B3266" t="str">
            <v>Mohamed Mady</v>
          </cell>
          <cell r="E3266" t="str">
            <v>DXB</v>
          </cell>
          <cell r="F3266" t="str">
            <v>AM</v>
          </cell>
          <cell r="H3266">
            <v>0</v>
          </cell>
          <cell r="I3266">
            <v>15000</v>
          </cell>
        </row>
        <row r="3267">
          <cell r="A3267">
            <v>45474</v>
          </cell>
          <cell r="B3267" t="str">
            <v>Ramzi Gholmieh</v>
          </cell>
          <cell r="E3267" t="str">
            <v>DXB</v>
          </cell>
          <cell r="F3267" t="str">
            <v>AM</v>
          </cell>
          <cell r="H3267">
            <v>0</v>
          </cell>
          <cell r="I3267">
            <v>57060</v>
          </cell>
        </row>
        <row r="3268">
          <cell r="A3268">
            <v>45474</v>
          </cell>
          <cell r="B3268" t="str">
            <v>Talal Ahmed Ali Alsharhan</v>
          </cell>
          <cell r="E3268" t="str">
            <v>DXB</v>
          </cell>
          <cell r="F3268" t="str">
            <v>AM</v>
          </cell>
          <cell r="H3268">
            <v>0</v>
          </cell>
          <cell r="I3268">
            <v>20000</v>
          </cell>
        </row>
        <row r="3269">
          <cell r="A3269">
            <v>45474</v>
          </cell>
          <cell r="B3269" t="str">
            <v>Khaled Alawadi</v>
          </cell>
          <cell r="E3269" t="str">
            <v>F-NE</v>
          </cell>
          <cell r="F3269" t="str">
            <v>D</v>
          </cell>
          <cell r="H3269">
            <v>0</v>
          </cell>
          <cell r="I3269">
            <v>44345</v>
          </cell>
        </row>
        <row r="3270">
          <cell r="A3270">
            <v>45474</v>
          </cell>
          <cell r="B3270" t="str">
            <v>Bader Al Shehhi</v>
          </cell>
          <cell r="E3270" t="str">
            <v>F-NE</v>
          </cell>
          <cell r="F3270" t="str">
            <v>AM</v>
          </cell>
          <cell r="H3270">
            <v>0</v>
          </cell>
          <cell r="I3270">
            <v>5300</v>
          </cell>
        </row>
        <row r="3271">
          <cell r="A3271">
            <v>45474</v>
          </cell>
          <cell r="B3271" t="str">
            <v>Bashar Al Adilee</v>
          </cell>
          <cell r="E3271" t="str">
            <v>F-NE</v>
          </cell>
          <cell r="F3271" t="str">
            <v>AM</v>
          </cell>
          <cell r="H3271">
            <v>0</v>
          </cell>
          <cell r="I3271">
            <v>9500</v>
          </cell>
        </row>
        <row r="3272">
          <cell r="A3272">
            <v>45474</v>
          </cell>
          <cell r="B3272" t="str">
            <v>Khalid Mohammed</v>
          </cell>
          <cell r="E3272" t="str">
            <v>F-NE</v>
          </cell>
          <cell r="F3272" t="str">
            <v>AM</v>
          </cell>
          <cell r="H3272">
            <v>0</v>
          </cell>
          <cell r="I3272">
            <v>5250</v>
          </cell>
        </row>
        <row r="3273">
          <cell r="A3273">
            <v>45474</v>
          </cell>
          <cell r="B3273" t="str">
            <v>Majd Nairoukh</v>
          </cell>
          <cell r="E3273" t="str">
            <v>F-NE</v>
          </cell>
          <cell r="F3273" t="str">
            <v>AM</v>
          </cell>
          <cell r="H3273">
            <v>0</v>
          </cell>
          <cell r="I3273">
            <v>9500</v>
          </cell>
        </row>
        <row r="3274">
          <cell r="A3274">
            <v>45474</v>
          </cell>
          <cell r="B3274" t="str">
            <v>Nader AlMustafa</v>
          </cell>
          <cell r="E3274" t="str">
            <v>F-NE</v>
          </cell>
          <cell r="F3274" t="str">
            <v>AM</v>
          </cell>
          <cell r="H3274">
            <v>0</v>
          </cell>
          <cell r="I3274">
            <v>9500</v>
          </cell>
        </row>
        <row r="3275">
          <cell r="A3275">
            <v>45474</v>
          </cell>
          <cell r="B3275" t="str">
            <v>Yousef Al Baloushi</v>
          </cell>
          <cell r="E3275" t="str">
            <v>F-NE</v>
          </cell>
          <cell r="F3275" t="str">
            <v>AM</v>
          </cell>
          <cell r="H3275">
            <v>0</v>
          </cell>
          <cell r="I3275">
            <v>5295</v>
          </cell>
        </row>
        <row r="3276">
          <cell r="A3276">
            <v>45474</v>
          </cell>
          <cell r="B3276" t="str">
            <v>Mazen Adem</v>
          </cell>
          <cell r="E3276" t="str">
            <v>FOGH</v>
          </cell>
          <cell r="F3276" t="str">
            <v>D</v>
          </cell>
          <cell r="H3276">
            <v>1097</v>
          </cell>
          <cell r="I3276">
            <v>324574</v>
          </cell>
        </row>
        <row r="3277">
          <cell r="A3277">
            <v>45474</v>
          </cell>
          <cell r="B3277" t="str">
            <v>Abdel Azim Sharabati</v>
          </cell>
          <cell r="E3277" t="str">
            <v>FOGH</v>
          </cell>
          <cell r="F3277" t="str">
            <v>AM</v>
          </cell>
          <cell r="H3277">
            <v>125</v>
          </cell>
          <cell r="I3277">
            <v>29525</v>
          </cell>
        </row>
        <row r="3278">
          <cell r="A3278">
            <v>45474</v>
          </cell>
          <cell r="B3278" t="str">
            <v>Abraham Cherian</v>
          </cell>
          <cell r="E3278" t="str">
            <v>FOGH</v>
          </cell>
          <cell r="F3278" t="str">
            <v>AM</v>
          </cell>
          <cell r="H3278">
            <v>125</v>
          </cell>
          <cell r="I3278">
            <v>40000</v>
          </cell>
        </row>
        <row r="3279">
          <cell r="A3279">
            <v>45474</v>
          </cell>
          <cell r="B3279" t="str">
            <v>Arjun Subaraman</v>
          </cell>
          <cell r="E3279" t="str">
            <v>FOGH</v>
          </cell>
          <cell r="F3279" t="str">
            <v>AM</v>
          </cell>
          <cell r="H3279">
            <v>125</v>
          </cell>
          <cell r="I3279">
            <v>45000</v>
          </cell>
        </row>
        <row r="3280">
          <cell r="A3280">
            <v>45474</v>
          </cell>
          <cell r="B3280" t="str">
            <v>Ghassan Fouany</v>
          </cell>
          <cell r="E3280" t="str">
            <v>FOGH</v>
          </cell>
          <cell r="F3280" t="str">
            <v>AM</v>
          </cell>
          <cell r="H3280">
            <v>125</v>
          </cell>
          <cell r="I3280">
            <v>30000</v>
          </cell>
        </row>
        <row r="3281">
          <cell r="A3281">
            <v>45474</v>
          </cell>
          <cell r="B3281" t="str">
            <v>Inayat Fazili</v>
          </cell>
          <cell r="E3281" t="str">
            <v>FOGH</v>
          </cell>
          <cell r="F3281" t="str">
            <v>AM</v>
          </cell>
          <cell r="H3281">
            <v>100</v>
          </cell>
          <cell r="I3281">
            <v>68000</v>
          </cell>
        </row>
        <row r="3282">
          <cell r="A3282">
            <v>45474</v>
          </cell>
          <cell r="B3282" t="str">
            <v>Mohamed Mostafa</v>
          </cell>
          <cell r="E3282" t="str">
            <v>FOGH</v>
          </cell>
          <cell r="F3282" t="str">
            <v>AM</v>
          </cell>
          <cell r="H3282">
            <v>125</v>
          </cell>
          <cell r="I3282">
            <v>31524</v>
          </cell>
        </row>
        <row r="3283">
          <cell r="A3283">
            <v>45474</v>
          </cell>
          <cell r="B3283" t="str">
            <v>Mohd Sheikh Salem</v>
          </cell>
          <cell r="E3283" t="str">
            <v>FOGH</v>
          </cell>
          <cell r="F3283" t="str">
            <v>AM</v>
          </cell>
          <cell r="H3283">
            <v>125</v>
          </cell>
          <cell r="I3283">
            <v>25525</v>
          </cell>
        </row>
        <row r="3284">
          <cell r="A3284">
            <v>45474</v>
          </cell>
          <cell r="B3284" t="str">
            <v>Nadeem Rasheed</v>
          </cell>
          <cell r="E3284" t="str">
            <v>FOGH</v>
          </cell>
          <cell r="F3284" t="str">
            <v>AM</v>
          </cell>
          <cell r="H3284">
            <v>125</v>
          </cell>
          <cell r="I3284">
            <v>33000</v>
          </cell>
        </row>
        <row r="3285">
          <cell r="A3285">
            <v>45474</v>
          </cell>
          <cell r="B3285" t="str">
            <v>Ramy Abdel Fattah</v>
          </cell>
          <cell r="E3285" t="str">
            <v>FOGH</v>
          </cell>
          <cell r="F3285" t="str">
            <v>AM</v>
          </cell>
          <cell r="H3285">
            <v>125</v>
          </cell>
          <cell r="I3285">
            <v>22000</v>
          </cell>
        </row>
        <row r="3286">
          <cell r="A3286">
            <v>45474</v>
          </cell>
          <cell r="B3286" t="str">
            <v>Mohamed AlZarooni</v>
          </cell>
          <cell r="E3286" t="str">
            <v>HUNT</v>
          </cell>
          <cell r="F3286" t="str">
            <v>D</v>
          </cell>
          <cell r="H3286">
            <v>269.96117424405816</v>
          </cell>
          <cell r="I3286">
            <v>69392.749999999985</v>
          </cell>
        </row>
        <row r="3287">
          <cell r="A3287">
            <v>45474</v>
          </cell>
          <cell r="B3287" t="str">
            <v>Adnan Bashir</v>
          </cell>
          <cell r="E3287" t="str">
            <v>HUNT</v>
          </cell>
          <cell r="F3287" t="str">
            <v>AM</v>
          </cell>
          <cell r="H3287">
            <v>120</v>
          </cell>
          <cell r="I3287">
            <v>14848</v>
          </cell>
        </row>
        <row r="3288">
          <cell r="A3288">
            <v>45474</v>
          </cell>
          <cell r="B3288" t="str">
            <v>Ammar Aladily</v>
          </cell>
          <cell r="E3288" t="str">
            <v>HUNT</v>
          </cell>
          <cell r="F3288" t="str">
            <v>AM</v>
          </cell>
          <cell r="H3288">
            <v>38</v>
          </cell>
          <cell r="I3288">
            <v>14848</v>
          </cell>
        </row>
        <row r="3289">
          <cell r="A3289">
            <v>45474</v>
          </cell>
          <cell r="B3289" t="str">
            <v>Anastasia Maltseva</v>
          </cell>
          <cell r="E3289" t="str">
            <v>HUNT</v>
          </cell>
          <cell r="F3289" t="str">
            <v>AM</v>
          </cell>
          <cell r="H3289">
            <v>38</v>
          </cell>
          <cell r="I3289">
            <v>14848</v>
          </cell>
        </row>
        <row r="3290">
          <cell r="A3290">
            <v>45474</v>
          </cell>
          <cell r="B3290" t="str">
            <v>Favas Kurinhilayil</v>
          </cell>
          <cell r="E3290" t="str">
            <v>HUNT</v>
          </cell>
          <cell r="F3290" t="str">
            <v>AM</v>
          </cell>
          <cell r="H3290">
            <v>37</v>
          </cell>
          <cell r="I3290">
            <v>10000</v>
          </cell>
        </row>
        <row r="3291">
          <cell r="A3291">
            <v>45474</v>
          </cell>
          <cell r="B3291" t="str">
            <v>Othman Hassan</v>
          </cell>
          <cell r="E3291" t="str">
            <v>HUNT</v>
          </cell>
          <cell r="F3291" t="str">
            <v>AM</v>
          </cell>
          <cell r="H3291">
            <v>37</v>
          </cell>
          <cell r="I3291">
            <v>14848</v>
          </cell>
        </row>
        <row r="3292">
          <cell r="A3292">
            <v>45474</v>
          </cell>
          <cell r="B3292" t="str">
            <v>Hany Jawee</v>
          </cell>
          <cell r="E3292" t="str">
            <v>TRE</v>
          </cell>
          <cell r="F3292" t="str">
            <v>D</v>
          </cell>
          <cell r="H3292">
            <v>766.27445716486454</v>
          </cell>
          <cell r="I3292">
            <v>359837.625</v>
          </cell>
        </row>
        <row r="3293">
          <cell r="A3293">
            <v>45474</v>
          </cell>
          <cell r="B3293" t="str">
            <v>Ahmad Ozdamir</v>
          </cell>
          <cell r="E3293" t="str">
            <v>TRE</v>
          </cell>
          <cell r="F3293" t="str">
            <v>AM</v>
          </cell>
          <cell r="H3293">
            <v>76.627445716486463</v>
          </cell>
          <cell r="I3293">
            <v>28975.87712183686</v>
          </cell>
        </row>
        <row r="3294">
          <cell r="A3294">
            <v>45474</v>
          </cell>
          <cell r="B3294" t="str">
            <v>Amjad Ilwan</v>
          </cell>
          <cell r="E3294" t="str">
            <v>TRE</v>
          </cell>
          <cell r="F3294" t="str">
            <v>AM</v>
          </cell>
          <cell r="H3294">
            <v>76.627445716486463</v>
          </cell>
          <cell r="I3294">
            <v>38715.389326258497</v>
          </cell>
        </row>
        <row r="3295">
          <cell r="A3295">
            <v>45474</v>
          </cell>
          <cell r="B3295" t="str">
            <v>Ehab Hajou</v>
          </cell>
          <cell r="E3295" t="str">
            <v>TRE</v>
          </cell>
          <cell r="F3295" t="str">
            <v>AM</v>
          </cell>
          <cell r="H3295">
            <v>76.627445716486463</v>
          </cell>
          <cell r="I3295">
            <v>38975.8771218369</v>
          </cell>
        </row>
        <row r="3296">
          <cell r="A3296">
            <v>45474</v>
          </cell>
          <cell r="B3296" t="str">
            <v>Fadi Saleh</v>
          </cell>
          <cell r="E3296" t="str">
            <v>TRE</v>
          </cell>
          <cell r="F3296" t="str">
            <v>AM</v>
          </cell>
          <cell r="H3296">
            <v>76.627445716486463</v>
          </cell>
          <cell r="I3296">
            <v>30975.8771218369</v>
          </cell>
        </row>
        <row r="3297">
          <cell r="A3297">
            <v>45474</v>
          </cell>
          <cell r="B3297" t="str">
            <v>Majid Abdulla</v>
          </cell>
          <cell r="E3297" t="str">
            <v>TRE</v>
          </cell>
          <cell r="F3297" t="str">
            <v>AM</v>
          </cell>
          <cell r="H3297">
            <v>76.627445716486463</v>
          </cell>
          <cell r="I3297">
            <v>37975.8771218369</v>
          </cell>
        </row>
        <row r="3298">
          <cell r="A3298">
            <v>45474</v>
          </cell>
          <cell r="B3298" t="str">
            <v>Mehfooz Mir</v>
          </cell>
          <cell r="E3298" t="str">
            <v>TRE</v>
          </cell>
          <cell r="F3298" t="str">
            <v>AM</v>
          </cell>
          <cell r="H3298">
            <v>76.627445716486463</v>
          </cell>
          <cell r="I3298">
            <v>38975.8771218369</v>
          </cell>
        </row>
        <row r="3299">
          <cell r="A3299">
            <v>45474</v>
          </cell>
          <cell r="B3299" t="str">
            <v>Mostafa Mekawy</v>
          </cell>
          <cell r="E3299" t="str">
            <v>TRE</v>
          </cell>
          <cell r="F3299" t="str">
            <v>AM</v>
          </cell>
          <cell r="H3299">
            <v>76.627445716486463</v>
          </cell>
          <cell r="I3299">
            <v>48975.8771218369</v>
          </cell>
        </row>
        <row r="3300">
          <cell r="A3300">
            <v>45474</v>
          </cell>
          <cell r="B3300" t="str">
            <v>Rijith Menon</v>
          </cell>
          <cell r="E3300" t="str">
            <v>TRE</v>
          </cell>
          <cell r="F3300" t="str">
            <v>AM</v>
          </cell>
          <cell r="H3300">
            <v>76.627445716486463</v>
          </cell>
          <cell r="I3300">
            <v>28975.8771218369</v>
          </cell>
        </row>
        <row r="3301">
          <cell r="A3301">
            <v>45474</v>
          </cell>
          <cell r="B3301" t="str">
            <v>Suleiman Wanni</v>
          </cell>
          <cell r="E3301" t="str">
            <v>TRE</v>
          </cell>
          <cell r="F3301" t="str">
            <v>AM</v>
          </cell>
          <cell r="H3301">
            <v>76.627445716486463</v>
          </cell>
          <cell r="I3301">
            <v>27975.8771218369</v>
          </cell>
        </row>
        <row r="3302">
          <cell r="A3302">
            <v>45474</v>
          </cell>
          <cell r="B3302" t="str">
            <v>Waseem Suhaf</v>
          </cell>
          <cell r="E3302" t="str">
            <v>TRE</v>
          </cell>
          <cell r="F3302" t="str">
            <v>AM</v>
          </cell>
          <cell r="H3302">
            <v>76.627445716486463</v>
          </cell>
          <cell r="I3302">
            <v>39315.2186990466</v>
          </cell>
        </row>
        <row r="3303">
          <cell r="A3303">
            <v>45474</v>
          </cell>
          <cell r="B3303" t="str">
            <v>Muhammad Shahzad Hasan</v>
          </cell>
          <cell r="E3303" t="str">
            <v>TRM</v>
          </cell>
          <cell r="F3303" t="str">
            <v>D</v>
          </cell>
          <cell r="H3303">
            <v>1006.9722858896173</v>
          </cell>
          <cell r="I3303">
            <v>157835.12499999997</v>
          </cell>
        </row>
        <row r="3304">
          <cell r="A3304">
            <v>45474</v>
          </cell>
          <cell r="B3304" t="str">
            <v>Eslam Hassan</v>
          </cell>
          <cell r="E3304" t="str">
            <v>TRM</v>
          </cell>
          <cell r="F3304" t="str">
            <v>AM</v>
          </cell>
          <cell r="H3304">
            <v>115.28175512708819</v>
          </cell>
          <cell r="I3304">
            <v>19729.390624999996</v>
          </cell>
        </row>
        <row r="3305">
          <cell r="A3305">
            <v>45474</v>
          </cell>
          <cell r="B3305" t="str">
            <v>Khaled Abdelaziz</v>
          </cell>
          <cell r="E3305" t="str">
            <v>TRM</v>
          </cell>
          <cell r="F3305" t="str">
            <v>AM</v>
          </cell>
          <cell r="H3305">
            <v>115.28175512708819</v>
          </cell>
          <cell r="I3305">
            <v>19729.390624999996</v>
          </cell>
        </row>
        <row r="3306">
          <cell r="A3306">
            <v>45474</v>
          </cell>
          <cell r="B3306" t="str">
            <v>Mohamad Labban</v>
          </cell>
          <cell r="E3306" t="str">
            <v>TRM</v>
          </cell>
          <cell r="F3306" t="str">
            <v>AM</v>
          </cell>
          <cell r="H3306">
            <v>115.28175512708819</v>
          </cell>
          <cell r="I3306">
            <v>19729.390624999996</v>
          </cell>
        </row>
        <row r="3307">
          <cell r="A3307">
            <v>45474</v>
          </cell>
          <cell r="B3307" t="str">
            <v>Mohamed Kishk</v>
          </cell>
          <cell r="E3307" t="str">
            <v>TRM</v>
          </cell>
          <cell r="F3307" t="str">
            <v>AM</v>
          </cell>
          <cell r="H3307">
            <v>200</v>
          </cell>
          <cell r="I3307">
            <v>19729.390624999996</v>
          </cell>
        </row>
        <row r="3308">
          <cell r="A3308">
            <v>45474</v>
          </cell>
          <cell r="B3308" t="str">
            <v>Mushahid Hussain Syed</v>
          </cell>
          <cell r="E3308" t="str">
            <v>TRM</v>
          </cell>
          <cell r="F3308" t="str">
            <v>AM</v>
          </cell>
          <cell r="H3308">
            <v>115.28175512708819</v>
          </cell>
          <cell r="I3308">
            <v>19729.390624999996</v>
          </cell>
        </row>
        <row r="3309">
          <cell r="A3309">
            <v>45474</v>
          </cell>
          <cell r="B3309" t="str">
            <v>Peter Sedrak</v>
          </cell>
          <cell r="E3309" t="str">
            <v>TRM</v>
          </cell>
          <cell r="F3309" t="str">
            <v>AM</v>
          </cell>
          <cell r="H3309">
            <v>115.28175512708819</v>
          </cell>
          <cell r="I3309">
            <v>19729.390624999996</v>
          </cell>
        </row>
        <row r="3310">
          <cell r="A3310">
            <v>45474</v>
          </cell>
          <cell r="B3310" t="str">
            <v>Shabbir Lacewala</v>
          </cell>
          <cell r="E3310" t="str">
            <v>TRM</v>
          </cell>
          <cell r="F3310" t="str">
            <v>AM</v>
          </cell>
          <cell r="H3310">
            <v>115.28175512708819</v>
          </cell>
          <cell r="I3310">
            <v>19729.390624999996</v>
          </cell>
        </row>
        <row r="3311">
          <cell r="A3311">
            <v>45474</v>
          </cell>
          <cell r="B3311" t="str">
            <v>Simon Williams</v>
          </cell>
          <cell r="E3311" t="str">
            <v>TRM</v>
          </cell>
          <cell r="F3311" t="str">
            <v>AM</v>
          </cell>
          <cell r="H3311">
            <v>115.28175512708819</v>
          </cell>
          <cell r="I3311">
            <v>19729.390624999996</v>
          </cell>
        </row>
        <row r="3312">
          <cell r="A3312">
            <v>45505</v>
          </cell>
          <cell r="B3312" t="str">
            <v>Khalid Karmastaji</v>
          </cell>
          <cell r="E3312" t="str">
            <v>AUH</v>
          </cell>
          <cell r="F3312" t="str">
            <v>D</v>
          </cell>
          <cell r="H3312">
            <v>1226</v>
          </cell>
          <cell r="I3312">
            <v>210000</v>
          </cell>
        </row>
        <row r="3313">
          <cell r="A3313">
            <v>45505</v>
          </cell>
          <cell r="B3313" t="str">
            <v>Ammar Alqudsi</v>
          </cell>
          <cell r="E3313" t="str">
            <v>AUH</v>
          </cell>
          <cell r="F3313" t="str">
            <v>AM</v>
          </cell>
          <cell r="H3313">
            <v>260</v>
          </cell>
          <cell r="I3313">
            <v>50000</v>
          </cell>
        </row>
        <row r="3314">
          <cell r="A3314">
            <v>45505</v>
          </cell>
          <cell r="B3314" t="str">
            <v>Muhammad Nauman Khan</v>
          </cell>
          <cell r="E3314" t="str">
            <v>AUH</v>
          </cell>
          <cell r="F3314" t="str">
            <v>AM</v>
          </cell>
          <cell r="H3314">
            <v>220</v>
          </cell>
          <cell r="I3314">
            <v>55000</v>
          </cell>
        </row>
        <row r="3315">
          <cell r="A3315">
            <v>45505</v>
          </cell>
          <cell r="B3315" t="str">
            <v>Omar AlHammadi</v>
          </cell>
          <cell r="E3315" t="str">
            <v>AUH</v>
          </cell>
          <cell r="F3315" t="str">
            <v>AM</v>
          </cell>
          <cell r="H3315">
            <v>346</v>
          </cell>
          <cell r="I3315">
            <v>45000</v>
          </cell>
        </row>
        <row r="3316">
          <cell r="A3316">
            <v>45505</v>
          </cell>
          <cell r="B3316" t="str">
            <v>Tarek Solh</v>
          </cell>
          <cell r="E3316" t="str">
            <v>AUH</v>
          </cell>
          <cell r="F3316" t="str">
            <v>AM</v>
          </cell>
          <cell r="H3316">
            <v>400</v>
          </cell>
          <cell r="I3316">
            <v>60000</v>
          </cell>
        </row>
        <row r="3317">
          <cell r="A3317">
            <v>45505</v>
          </cell>
          <cell r="B3317" t="str">
            <v>Mohamad Amer Sibai</v>
          </cell>
          <cell r="E3317" t="str">
            <v>DXB</v>
          </cell>
          <cell r="F3317" t="str">
            <v>D</v>
          </cell>
          <cell r="H3317">
            <v>1020</v>
          </cell>
          <cell r="I3317">
            <v>155000</v>
          </cell>
        </row>
        <row r="3318">
          <cell r="A3318">
            <v>45505</v>
          </cell>
          <cell r="B3318" t="str">
            <v>Ali Alzarooni</v>
          </cell>
          <cell r="E3318" t="str">
            <v>DXB</v>
          </cell>
          <cell r="F3318" t="str">
            <v>AM</v>
          </cell>
          <cell r="H3318">
            <v>130</v>
          </cell>
          <cell r="I3318">
            <v>5000</v>
          </cell>
        </row>
        <row r="3319">
          <cell r="A3319">
            <v>45505</v>
          </cell>
          <cell r="B3319" t="str">
            <v>Humaid Al Ali</v>
          </cell>
          <cell r="E3319" t="str">
            <v>DXB</v>
          </cell>
          <cell r="F3319" t="str">
            <v>AM</v>
          </cell>
          <cell r="H3319">
            <v>400</v>
          </cell>
          <cell r="I3319">
            <v>25000</v>
          </cell>
        </row>
        <row r="3320">
          <cell r="A3320">
            <v>45505</v>
          </cell>
          <cell r="B3320" t="str">
            <v>Mohamed Mady</v>
          </cell>
          <cell r="E3320" t="str">
            <v>DXB</v>
          </cell>
          <cell r="F3320" t="str">
            <v>AM</v>
          </cell>
          <cell r="H3320">
            <v>60</v>
          </cell>
          <cell r="I3320">
            <v>5000</v>
          </cell>
        </row>
        <row r="3321">
          <cell r="A3321">
            <v>45505</v>
          </cell>
          <cell r="B3321" t="str">
            <v>Ramzi Gholmieh</v>
          </cell>
          <cell r="E3321" t="str">
            <v>DXB</v>
          </cell>
          <cell r="F3321" t="str">
            <v>AM</v>
          </cell>
          <cell r="H3321">
            <v>80</v>
          </cell>
          <cell r="I3321">
            <v>45000</v>
          </cell>
        </row>
        <row r="3322">
          <cell r="A3322">
            <v>45505</v>
          </cell>
          <cell r="B3322" t="str">
            <v>Talal Ahmed Ali Alsharhan</v>
          </cell>
          <cell r="E3322" t="str">
            <v>DXB</v>
          </cell>
          <cell r="F3322" t="str">
            <v>AM</v>
          </cell>
          <cell r="H3322">
            <v>350</v>
          </cell>
          <cell r="I3322">
            <v>75000</v>
          </cell>
        </row>
        <row r="3323">
          <cell r="A3323">
            <v>45505</v>
          </cell>
          <cell r="B3323" t="str">
            <v>Khaled Al Awadi</v>
          </cell>
          <cell r="E3323" t="str">
            <v>F-NE</v>
          </cell>
          <cell r="F3323" t="str">
            <v>D</v>
          </cell>
          <cell r="H3323">
            <v>4040</v>
          </cell>
          <cell r="I3323">
            <v>42500</v>
          </cell>
        </row>
        <row r="3324">
          <cell r="A3324">
            <v>45505</v>
          </cell>
          <cell r="B3324" t="str">
            <v>Bader Al Shehhi</v>
          </cell>
          <cell r="E3324" t="str">
            <v>F-NE</v>
          </cell>
          <cell r="F3324" t="str">
            <v>AM</v>
          </cell>
          <cell r="H3324">
            <v>502</v>
          </cell>
          <cell r="I3324">
            <v>4500</v>
          </cell>
        </row>
        <row r="3325">
          <cell r="A3325">
            <v>45505</v>
          </cell>
          <cell r="B3325" t="str">
            <v>Bashar Al Adilee</v>
          </cell>
          <cell r="E3325" t="str">
            <v>F-NE</v>
          </cell>
          <cell r="F3325" t="str">
            <v>AM</v>
          </cell>
          <cell r="H3325">
            <v>502</v>
          </cell>
          <cell r="I3325">
            <v>3000</v>
          </cell>
        </row>
        <row r="3326">
          <cell r="A3326">
            <v>45505</v>
          </cell>
          <cell r="B3326" t="str">
            <v>Khalid Mohammed</v>
          </cell>
          <cell r="E3326" t="str">
            <v>F-NE</v>
          </cell>
          <cell r="F3326" t="str">
            <v>AM</v>
          </cell>
          <cell r="H3326">
            <v>502</v>
          </cell>
          <cell r="I3326">
            <v>4500</v>
          </cell>
        </row>
        <row r="3327">
          <cell r="A3327">
            <v>45505</v>
          </cell>
          <cell r="B3327" t="str">
            <v>Majd Nairoukh</v>
          </cell>
          <cell r="E3327" t="str">
            <v>F-NE</v>
          </cell>
          <cell r="F3327" t="str">
            <v>AM</v>
          </cell>
          <cell r="H3327">
            <v>727</v>
          </cell>
          <cell r="I3327">
            <v>7000</v>
          </cell>
        </row>
        <row r="3328">
          <cell r="A3328">
            <v>45505</v>
          </cell>
          <cell r="B3328" t="str">
            <v>Nader AlMustafa</v>
          </cell>
          <cell r="E3328" t="str">
            <v>F-NE</v>
          </cell>
          <cell r="F3328" t="str">
            <v>AM</v>
          </cell>
          <cell r="H3328">
            <v>1265</v>
          </cell>
          <cell r="I3328">
            <v>19000</v>
          </cell>
        </row>
        <row r="3329">
          <cell r="A3329">
            <v>45505</v>
          </cell>
          <cell r="B3329" t="str">
            <v>Yousef Al Baloushi</v>
          </cell>
          <cell r="E3329" t="str">
            <v>F-NE</v>
          </cell>
          <cell r="F3329" t="str">
            <v>AM</v>
          </cell>
          <cell r="H3329">
            <v>542</v>
          </cell>
          <cell r="I3329">
            <v>4500</v>
          </cell>
        </row>
        <row r="3330">
          <cell r="A3330">
            <v>45505</v>
          </cell>
          <cell r="B3330" t="str">
            <v>Mazen Adem</v>
          </cell>
          <cell r="E3330" t="str">
            <v>FOGH</v>
          </cell>
          <cell r="F3330" t="str">
            <v>D</v>
          </cell>
          <cell r="H3330">
            <v>1139</v>
          </cell>
          <cell r="I3330">
            <v>305000</v>
          </cell>
        </row>
        <row r="3331">
          <cell r="A3331">
            <v>45505</v>
          </cell>
          <cell r="B3331" t="str">
            <v>Abdel Azim Sharabati</v>
          </cell>
          <cell r="E3331" t="str">
            <v>FOGH</v>
          </cell>
          <cell r="F3331" t="str">
            <v>AM</v>
          </cell>
          <cell r="H3331">
            <v>80</v>
          </cell>
          <cell r="I3331">
            <v>55000</v>
          </cell>
        </row>
        <row r="3332">
          <cell r="A3332">
            <v>45505</v>
          </cell>
          <cell r="B3332" t="str">
            <v>Abraham Cherian</v>
          </cell>
          <cell r="E3332" t="str">
            <v>FOGH</v>
          </cell>
          <cell r="F3332" t="str">
            <v>AM</v>
          </cell>
          <cell r="H3332">
            <v>144</v>
          </cell>
          <cell r="I3332">
            <v>40000</v>
          </cell>
        </row>
        <row r="3333">
          <cell r="A3333">
            <v>45505</v>
          </cell>
          <cell r="B3333" t="str">
            <v>Arjun Subaraman</v>
          </cell>
          <cell r="E3333" t="str">
            <v>FOGH</v>
          </cell>
          <cell r="F3333" t="str">
            <v>AM</v>
          </cell>
          <cell r="H3333">
            <v>144</v>
          </cell>
          <cell r="I3333">
            <v>29000</v>
          </cell>
        </row>
        <row r="3334">
          <cell r="A3334">
            <v>45505</v>
          </cell>
          <cell r="B3334" t="str">
            <v>Ghassan Fouany</v>
          </cell>
          <cell r="E3334" t="str">
            <v>FOGH</v>
          </cell>
          <cell r="F3334" t="str">
            <v>AM</v>
          </cell>
          <cell r="H3334">
            <v>144</v>
          </cell>
          <cell r="I3334">
            <v>29000</v>
          </cell>
        </row>
        <row r="3335">
          <cell r="A3335">
            <v>45505</v>
          </cell>
          <cell r="B3335" t="str">
            <v>Inayat Fazili</v>
          </cell>
          <cell r="E3335" t="str">
            <v>FOGH</v>
          </cell>
          <cell r="F3335" t="str">
            <v>AM</v>
          </cell>
          <cell r="H3335">
            <v>144</v>
          </cell>
          <cell r="I3335">
            <v>29000</v>
          </cell>
        </row>
        <row r="3336">
          <cell r="A3336">
            <v>45505</v>
          </cell>
          <cell r="B3336" t="str">
            <v>Mohamed Mostafa</v>
          </cell>
          <cell r="E3336" t="str">
            <v>FOGH</v>
          </cell>
          <cell r="F3336" t="str">
            <v>AM</v>
          </cell>
          <cell r="H3336">
            <v>105</v>
          </cell>
          <cell r="I3336">
            <v>25000</v>
          </cell>
        </row>
        <row r="3337">
          <cell r="A3337">
            <v>45505</v>
          </cell>
          <cell r="B3337" t="str">
            <v>Mohd Sheikh Salem</v>
          </cell>
          <cell r="E3337" t="str">
            <v>FOGH</v>
          </cell>
          <cell r="F3337" t="str">
            <v>AM</v>
          </cell>
          <cell r="H3337">
            <v>144</v>
          </cell>
          <cell r="I3337">
            <v>32000</v>
          </cell>
        </row>
        <row r="3338">
          <cell r="A3338">
            <v>45505</v>
          </cell>
          <cell r="B3338" t="str">
            <v>Nadeem Rasheed</v>
          </cell>
          <cell r="E3338" t="str">
            <v>FOGH</v>
          </cell>
          <cell r="F3338" t="str">
            <v>AM</v>
          </cell>
          <cell r="H3338">
            <v>129</v>
          </cell>
          <cell r="I3338">
            <v>40000</v>
          </cell>
        </row>
        <row r="3339">
          <cell r="A3339">
            <v>45505</v>
          </cell>
          <cell r="B3339" t="str">
            <v>Ramy Abdel Fattah</v>
          </cell>
          <cell r="E3339" t="str">
            <v>FOGH</v>
          </cell>
          <cell r="F3339" t="str">
            <v>AM</v>
          </cell>
          <cell r="H3339">
            <v>105</v>
          </cell>
          <cell r="I3339">
            <v>26000</v>
          </cell>
        </row>
        <row r="3340">
          <cell r="A3340">
            <v>45505</v>
          </cell>
          <cell r="B3340" t="str">
            <v>Mohamed AlZarooni</v>
          </cell>
          <cell r="E3340" t="str">
            <v>HUNT</v>
          </cell>
          <cell r="F3340" t="str">
            <v>D</v>
          </cell>
          <cell r="H3340">
            <v>312</v>
          </cell>
          <cell r="I3340">
            <v>52500</v>
          </cell>
        </row>
        <row r="3341">
          <cell r="A3341">
            <v>45505</v>
          </cell>
          <cell r="B3341" t="str">
            <v>Adnan Bashir</v>
          </cell>
          <cell r="E3341" t="str">
            <v>HUNT</v>
          </cell>
          <cell r="F3341" t="str">
            <v>AM</v>
          </cell>
          <cell r="H3341">
            <v>62</v>
          </cell>
          <cell r="I3341">
            <v>10500</v>
          </cell>
        </row>
        <row r="3342">
          <cell r="A3342">
            <v>45505</v>
          </cell>
          <cell r="B3342" t="str">
            <v>Ammar Aladily</v>
          </cell>
          <cell r="E3342" t="str">
            <v>HUNT</v>
          </cell>
          <cell r="F3342" t="str">
            <v>AM</v>
          </cell>
          <cell r="H3342">
            <v>62</v>
          </cell>
          <cell r="I3342">
            <v>10500</v>
          </cell>
        </row>
        <row r="3343">
          <cell r="A3343">
            <v>45505</v>
          </cell>
          <cell r="B3343" t="str">
            <v>Anastasia Maltseva</v>
          </cell>
          <cell r="E3343" t="str">
            <v>HUNT</v>
          </cell>
          <cell r="F3343" t="str">
            <v>AM</v>
          </cell>
          <cell r="H3343">
            <v>63</v>
          </cell>
          <cell r="I3343">
            <v>10500</v>
          </cell>
        </row>
        <row r="3344">
          <cell r="A3344">
            <v>45505</v>
          </cell>
          <cell r="B3344" t="str">
            <v>Favas Kurinhilayil</v>
          </cell>
          <cell r="E3344" t="str">
            <v>HUNT</v>
          </cell>
          <cell r="F3344" t="str">
            <v>AM</v>
          </cell>
          <cell r="H3344">
            <v>62</v>
          </cell>
          <cell r="I3344">
            <v>10500</v>
          </cell>
        </row>
        <row r="3345">
          <cell r="A3345">
            <v>45505</v>
          </cell>
          <cell r="B3345" t="str">
            <v>Othman Hassan</v>
          </cell>
          <cell r="E3345" t="str">
            <v>HUNT</v>
          </cell>
          <cell r="F3345" t="str">
            <v>AM</v>
          </cell>
          <cell r="H3345">
            <v>63</v>
          </cell>
          <cell r="I3345">
            <v>10500</v>
          </cell>
        </row>
        <row r="3346">
          <cell r="A3346">
            <v>45505</v>
          </cell>
          <cell r="B3346" t="str">
            <v>Hany Jawee</v>
          </cell>
          <cell r="E3346" t="str">
            <v>TRE</v>
          </cell>
          <cell r="F3346" t="str">
            <v>D</v>
          </cell>
          <cell r="H3346">
            <v>808</v>
          </cell>
          <cell r="I3346">
            <v>305000</v>
          </cell>
        </row>
        <row r="3347">
          <cell r="A3347">
            <v>45505</v>
          </cell>
          <cell r="B3347" t="str">
            <v>Ahmad Ozdamir</v>
          </cell>
          <cell r="E3347" t="str">
            <v>TRE</v>
          </cell>
          <cell r="F3347" t="str">
            <v>AM</v>
          </cell>
          <cell r="H3347">
            <v>90</v>
          </cell>
          <cell r="I3347">
            <v>23766</v>
          </cell>
        </row>
        <row r="3348">
          <cell r="A3348">
            <v>45505</v>
          </cell>
          <cell r="B3348" t="str">
            <v>Amjad Ilwan</v>
          </cell>
          <cell r="E3348" t="str">
            <v>TRE</v>
          </cell>
          <cell r="F3348" t="str">
            <v>AM</v>
          </cell>
          <cell r="H3348">
            <v>90</v>
          </cell>
          <cell r="I3348">
            <v>25747</v>
          </cell>
        </row>
        <row r="3349">
          <cell r="A3349">
            <v>45505</v>
          </cell>
          <cell r="B3349" t="str">
            <v>Ehab Hajou</v>
          </cell>
          <cell r="E3349" t="str">
            <v>TRE</v>
          </cell>
          <cell r="F3349" t="str">
            <v>AM</v>
          </cell>
          <cell r="H3349">
            <v>70</v>
          </cell>
          <cell r="I3349">
            <v>34659</v>
          </cell>
        </row>
        <row r="3350">
          <cell r="A3350">
            <v>45505</v>
          </cell>
          <cell r="B3350" t="str">
            <v>Fadi Saleh</v>
          </cell>
          <cell r="E3350" t="str">
            <v>TRE</v>
          </cell>
          <cell r="F3350" t="str">
            <v>AM</v>
          </cell>
          <cell r="H3350">
            <v>70</v>
          </cell>
          <cell r="I3350">
            <v>19805</v>
          </cell>
        </row>
        <row r="3351">
          <cell r="A3351">
            <v>45505</v>
          </cell>
          <cell r="B3351" t="str">
            <v>Majid Abdulla</v>
          </cell>
          <cell r="E3351" t="str">
            <v>TRE</v>
          </cell>
          <cell r="F3351" t="str">
            <v>AM</v>
          </cell>
          <cell r="H3351">
            <v>50</v>
          </cell>
          <cell r="I3351">
            <v>12873</v>
          </cell>
        </row>
        <row r="3352">
          <cell r="A3352">
            <v>45505</v>
          </cell>
          <cell r="B3352" t="str">
            <v>Mehfooz Mir</v>
          </cell>
          <cell r="E3352" t="str">
            <v>TRE</v>
          </cell>
          <cell r="F3352" t="str">
            <v>AM</v>
          </cell>
          <cell r="H3352">
            <v>80</v>
          </cell>
          <cell r="I3352">
            <v>23766</v>
          </cell>
        </row>
        <row r="3353">
          <cell r="A3353">
            <v>45505</v>
          </cell>
          <cell r="B3353" t="str">
            <v>Mostafa Mekawy</v>
          </cell>
          <cell r="E3353" t="str">
            <v>TRE</v>
          </cell>
          <cell r="F3353" t="str">
            <v>AM</v>
          </cell>
          <cell r="H3353">
            <v>123</v>
          </cell>
          <cell r="I3353">
            <v>27727</v>
          </cell>
        </row>
        <row r="3354">
          <cell r="A3354">
            <v>45505</v>
          </cell>
          <cell r="B3354" t="str">
            <v>Rijith Menon</v>
          </cell>
          <cell r="E3354" t="str">
            <v>TRE</v>
          </cell>
          <cell r="F3354" t="str">
            <v>AM</v>
          </cell>
          <cell r="H3354">
            <v>100</v>
          </cell>
          <cell r="I3354">
            <v>33670</v>
          </cell>
        </row>
        <row r="3355">
          <cell r="A3355">
            <v>45505</v>
          </cell>
          <cell r="B3355" t="str">
            <v>Suleiman Wanni</v>
          </cell>
          <cell r="E3355" t="str">
            <v>TRE</v>
          </cell>
          <cell r="F3355" t="str">
            <v>AM</v>
          </cell>
          <cell r="H3355">
            <v>60</v>
          </cell>
          <cell r="I3355">
            <v>70308</v>
          </cell>
        </row>
        <row r="3356">
          <cell r="A3356">
            <v>45505</v>
          </cell>
          <cell r="B3356" t="str">
            <v>Waseem Suhaf</v>
          </cell>
          <cell r="E3356" t="str">
            <v>TRE</v>
          </cell>
          <cell r="F3356" t="str">
            <v>AM</v>
          </cell>
          <cell r="H3356">
            <v>75</v>
          </cell>
          <cell r="I3356">
            <v>32679</v>
          </cell>
        </row>
        <row r="3357">
          <cell r="A3357">
            <v>45505</v>
          </cell>
          <cell r="B3357" t="str">
            <v>Muhammad Shahzad Hasan</v>
          </cell>
          <cell r="E3357" t="str">
            <v>TRM</v>
          </cell>
          <cell r="F3357" t="str">
            <v>D</v>
          </cell>
          <cell r="H3357">
            <v>1055</v>
          </cell>
          <cell r="I3357">
            <v>140000</v>
          </cell>
        </row>
        <row r="3358">
          <cell r="A3358">
            <v>45505</v>
          </cell>
          <cell r="B3358" t="str">
            <v>Eslam Hassan</v>
          </cell>
          <cell r="E3358" t="str">
            <v>TRM</v>
          </cell>
          <cell r="F3358" t="str">
            <v>AM</v>
          </cell>
          <cell r="H3358">
            <v>100</v>
          </cell>
          <cell r="I3358">
            <v>15000</v>
          </cell>
        </row>
        <row r="3359">
          <cell r="A3359">
            <v>45505</v>
          </cell>
          <cell r="B3359" t="str">
            <v>Khaled Abdelaziz</v>
          </cell>
          <cell r="E3359" t="str">
            <v>TRM</v>
          </cell>
          <cell r="F3359" t="str">
            <v>AM</v>
          </cell>
          <cell r="H3359">
            <v>100</v>
          </cell>
          <cell r="I3359">
            <v>15224</v>
          </cell>
        </row>
        <row r="3360">
          <cell r="A3360">
            <v>45505</v>
          </cell>
          <cell r="B3360" t="str">
            <v>Mohamad Labban</v>
          </cell>
          <cell r="E3360" t="str">
            <v>TRM</v>
          </cell>
          <cell r="F3360" t="str">
            <v>AM</v>
          </cell>
          <cell r="H3360">
            <v>60</v>
          </cell>
          <cell r="I3360">
            <v>25000</v>
          </cell>
        </row>
        <row r="3361">
          <cell r="A3361">
            <v>45505</v>
          </cell>
          <cell r="B3361" t="str">
            <v>Mohamed Kishk</v>
          </cell>
          <cell r="E3361" t="str">
            <v>TRM</v>
          </cell>
          <cell r="F3361" t="str">
            <v>AM</v>
          </cell>
          <cell r="H3361">
            <v>370</v>
          </cell>
          <cell r="I3361">
            <v>17000</v>
          </cell>
        </row>
        <row r="3362">
          <cell r="A3362">
            <v>45505</v>
          </cell>
          <cell r="B3362" t="str">
            <v>Mushahid Hussain Syed</v>
          </cell>
          <cell r="E3362" t="str">
            <v>TRM</v>
          </cell>
          <cell r="F3362" t="str">
            <v>AM</v>
          </cell>
          <cell r="H3362">
            <v>115</v>
          </cell>
          <cell r="I3362">
            <v>12165</v>
          </cell>
        </row>
        <row r="3363">
          <cell r="A3363">
            <v>45505</v>
          </cell>
          <cell r="B3363" t="str">
            <v>Peter Sedrak</v>
          </cell>
          <cell r="E3363" t="str">
            <v>TRM</v>
          </cell>
          <cell r="F3363" t="str">
            <v>AM</v>
          </cell>
          <cell r="H3363">
            <v>100</v>
          </cell>
          <cell r="I3363">
            <v>20059</v>
          </cell>
        </row>
        <row r="3364">
          <cell r="A3364">
            <v>45505</v>
          </cell>
          <cell r="B3364" t="str">
            <v>Simon Williams</v>
          </cell>
          <cell r="E3364" t="str">
            <v>TRM</v>
          </cell>
          <cell r="F3364" t="str">
            <v>AM</v>
          </cell>
          <cell r="H3364">
            <v>80</v>
          </cell>
          <cell r="I3364">
            <v>17367</v>
          </cell>
        </row>
        <row r="3365">
          <cell r="A3365">
            <v>45505</v>
          </cell>
          <cell r="B3365" t="str">
            <v>Shabbir Lacewala</v>
          </cell>
          <cell r="E3365" t="str">
            <v>TRM</v>
          </cell>
          <cell r="F3365" t="str">
            <v>AM</v>
          </cell>
          <cell r="H3365">
            <v>130</v>
          </cell>
          <cell r="I3365">
            <v>18185</v>
          </cell>
        </row>
        <row r="3366">
          <cell r="A3366">
            <v>45505</v>
          </cell>
          <cell r="B3366" t="str">
            <v>Abdulghaffar Alkhaja</v>
          </cell>
          <cell r="E3366" t="str">
            <v>TRM</v>
          </cell>
          <cell r="F3366" t="str">
            <v>AM</v>
          </cell>
          <cell r="H3366">
            <v>50</v>
          </cell>
          <cell r="I3366">
            <v>5000</v>
          </cell>
        </row>
        <row r="3367">
          <cell r="A3367">
            <v>45536</v>
          </cell>
          <cell r="B3367" t="str">
            <v>Khalid Karmastaji</v>
          </cell>
          <cell r="E3367" t="str">
            <v>AUH</v>
          </cell>
          <cell r="F3367" t="str">
            <v>D</v>
          </cell>
          <cell r="H3367">
            <v>1000</v>
          </cell>
          <cell r="I3367">
            <v>273200</v>
          </cell>
        </row>
        <row r="3368">
          <cell r="A3368">
            <v>45536</v>
          </cell>
          <cell r="B3368" t="str">
            <v>Ammar Alqudsi</v>
          </cell>
          <cell r="E3368" t="str">
            <v>AUH</v>
          </cell>
          <cell r="F3368" t="str">
            <v>AM</v>
          </cell>
          <cell r="H3368">
            <v>230</v>
          </cell>
          <cell r="I3368">
            <v>50000</v>
          </cell>
        </row>
        <row r="3369">
          <cell r="A3369">
            <v>45536</v>
          </cell>
          <cell r="B3369" t="str">
            <v>Muhammad Nauman Khan</v>
          </cell>
          <cell r="E3369" t="str">
            <v>AUH</v>
          </cell>
          <cell r="F3369" t="str">
            <v>AM</v>
          </cell>
          <cell r="H3369">
            <v>230</v>
          </cell>
          <cell r="I3369">
            <v>43000</v>
          </cell>
        </row>
        <row r="3370">
          <cell r="A3370">
            <v>45536</v>
          </cell>
          <cell r="B3370" t="str">
            <v>Omar AlHammadi</v>
          </cell>
          <cell r="E3370" t="str">
            <v>AUH</v>
          </cell>
          <cell r="F3370" t="str">
            <v>AM</v>
          </cell>
          <cell r="H3370">
            <v>280</v>
          </cell>
          <cell r="I3370">
            <v>40200</v>
          </cell>
        </row>
        <row r="3371">
          <cell r="A3371">
            <v>45536</v>
          </cell>
          <cell r="B3371" t="str">
            <v>Tarek Solh</v>
          </cell>
          <cell r="E3371" t="str">
            <v>AUH</v>
          </cell>
          <cell r="F3371" t="str">
            <v>AM</v>
          </cell>
          <cell r="H3371">
            <v>260</v>
          </cell>
          <cell r="I3371">
            <v>140000</v>
          </cell>
        </row>
        <row r="3372">
          <cell r="A3372">
            <v>45536</v>
          </cell>
          <cell r="B3372" t="str">
            <v>Mohamad Amer Sibai</v>
          </cell>
          <cell r="E3372" t="str">
            <v>DXB</v>
          </cell>
          <cell r="F3372" t="str">
            <v>D</v>
          </cell>
          <cell r="H3372">
            <v>1026</v>
          </cell>
          <cell r="I3372">
            <v>148200</v>
          </cell>
        </row>
        <row r="3373">
          <cell r="A3373">
            <v>45536</v>
          </cell>
          <cell r="B3373" t="str">
            <v>Ali Alzarooni</v>
          </cell>
          <cell r="E3373" t="str">
            <v>DXB</v>
          </cell>
          <cell r="F3373" t="str">
            <v>AM</v>
          </cell>
          <cell r="H3373">
            <v>35</v>
          </cell>
          <cell r="I3373">
            <v>25000</v>
          </cell>
        </row>
        <row r="3374">
          <cell r="A3374">
            <v>45536</v>
          </cell>
          <cell r="B3374" t="str">
            <v>Humaid Al Ali</v>
          </cell>
          <cell r="E3374" t="str">
            <v>DXB</v>
          </cell>
          <cell r="F3374" t="str">
            <v>AM</v>
          </cell>
          <cell r="H3374">
            <v>225</v>
          </cell>
          <cell r="I3374">
            <v>30800</v>
          </cell>
        </row>
        <row r="3375">
          <cell r="A3375">
            <v>45536</v>
          </cell>
          <cell r="B3375" t="str">
            <v>Mohamed Mady</v>
          </cell>
          <cell r="E3375" t="str">
            <v>DXB</v>
          </cell>
          <cell r="F3375" t="str">
            <v>AM</v>
          </cell>
          <cell r="H3375">
            <v>120</v>
          </cell>
          <cell r="I3375">
            <v>13800</v>
          </cell>
        </row>
        <row r="3376">
          <cell r="A3376">
            <v>45536</v>
          </cell>
          <cell r="B3376" t="str">
            <v>Ramzi Gholmieh</v>
          </cell>
          <cell r="E3376" t="str">
            <v>DXB</v>
          </cell>
          <cell r="F3376" t="str">
            <v>AM</v>
          </cell>
          <cell r="H3376">
            <v>346</v>
          </cell>
          <cell r="I3376">
            <v>38600</v>
          </cell>
        </row>
        <row r="3377">
          <cell r="A3377">
            <v>45536</v>
          </cell>
          <cell r="B3377" t="str">
            <v>Talal Ahmed Ali Alsharhan</v>
          </cell>
          <cell r="E3377" t="str">
            <v>DXB</v>
          </cell>
          <cell r="F3377" t="str">
            <v>AM</v>
          </cell>
          <cell r="H3377">
            <v>300</v>
          </cell>
          <cell r="I3377">
            <v>40000</v>
          </cell>
        </row>
        <row r="3378">
          <cell r="A3378">
            <v>45536</v>
          </cell>
          <cell r="B3378" t="str">
            <v>Khaled Al Awadi</v>
          </cell>
          <cell r="E3378" t="str">
            <v>F-NE</v>
          </cell>
          <cell r="F3378" t="str">
            <v>D</v>
          </cell>
          <cell r="H3378">
            <v>4573</v>
          </cell>
          <cell r="I3378">
            <v>45000</v>
          </cell>
        </row>
        <row r="3379">
          <cell r="A3379">
            <v>45536</v>
          </cell>
          <cell r="B3379" t="str">
            <v>Bader Al Shehhi</v>
          </cell>
          <cell r="E3379" t="str">
            <v>F-NE</v>
          </cell>
          <cell r="F3379" t="str">
            <v>AM</v>
          </cell>
          <cell r="H3379">
            <v>570</v>
          </cell>
          <cell r="I3379">
            <v>4300</v>
          </cell>
        </row>
        <row r="3380">
          <cell r="A3380">
            <v>45536</v>
          </cell>
          <cell r="B3380" t="str">
            <v>Bashar Al Adilee</v>
          </cell>
          <cell r="E3380" t="str">
            <v>F-NE</v>
          </cell>
          <cell r="F3380" t="str">
            <v>AM</v>
          </cell>
          <cell r="H3380">
            <v>570</v>
          </cell>
          <cell r="I3380">
            <v>25000</v>
          </cell>
        </row>
        <row r="3381">
          <cell r="A3381">
            <v>45536</v>
          </cell>
          <cell r="B3381" t="str">
            <v>Khalid Mohammed</v>
          </cell>
          <cell r="E3381" t="str">
            <v>F-NE</v>
          </cell>
          <cell r="F3381" t="str">
            <v>AM</v>
          </cell>
          <cell r="H3381">
            <v>570</v>
          </cell>
          <cell r="I3381">
            <v>4500</v>
          </cell>
        </row>
        <row r="3382">
          <cell r="A3382">
            <v>45536</v>
          </cell>
          <cell r="B3382" t="str">
            <v>Majd Nairoukh</v>
          </cell>
          <cell r="E3382" t="str">
            <v>F-NE</v>
          </cell>
          <cell r="F3382" t="str">
            <v>AM</v>
          </cell>
          <cell r="H3382">
            <v>943</v>
          </cell>
          <cell r="I3382">
            <v>3500</v>
          </cell>
        </row>
        <row r="3383">
          <cell r="A3383">
            <v>45536</v>
          </cell>
          <cell r="B3383" t="str">
            <v>Nader AlMustafa</v>
          </cell>
          <cell r="E3383" t="str">
            <v>F-NE</v>
          </cell>
          <cell r="F3383" t="str">
            <v>AM</v>
          </cell>
          <cell r="H3383">
            <v>1310</v>
          </cell>
          <cell r="I3383">
            <v>3500</v>
          </cell>
        </row>
        <row r="3384">
          <cell r="A3384">
            <v>45536</v>
          </cell>
          <cell r="B3384" t="str">
            <v>Yousef Al Baloushi</v>
          </cell>
          <cell r="E3384" t="str">
            <v>F-NE</v>
          </cell>
          <cell r="F3384" t="str">
            <v>AM</v>
          </cell>
          <cell r="H3384">
            <v>610</v>
          </cell>
          <cell r="I3384">
            <v>4200</v>
          </cell>
        </row>
        <row r="3385">
          <cell r="A3385">
            <v>45536</v>
          </cell>
          <cell r="B3385" t="str">
            <v>Mazen Adem</v>
          </cell>
          <cell r="E3385" t="str">
            <v>FOGH</v>
          </cell>
          <cell r="F3385" t="str">
            <v>D</v>
          </cell>
          <cell r="H3385">
            <v>1414</v>
          </cell>
          <cell r="I3385">
            <v>274200</v>
          </cell>
        </row>
        <row r="3386">
          <cell r="A3386">
            <v>45536</v>
          </cell>
          <cell r="B3386" t="str">
            <v>Abdel Azim Sharabati</v>
          </cell>
          <cell r="E3386" t="str">
            <v>FOGH</v>
          </cell>
          <cell r="F3386" t="str">
            <v>AM</v>
          </cell>
          <cell r="H3386">
            <v>350</v>
          </cell>
          <cell r="I3386">
            <v>55000</v>
          </cell>
        </row>
        <row r="3387">
          <cell r="A3387">
            <v>45536</v>
          </cell>
          <cell r="B3387" t="str">
            <v>Abraham Cherian</v>
          </cell>
          <cell r="E3387" t="str">
            <v>FOGH</v>
          </cell>
          <cell r="F3387" t="str">
            <v>AM</v>
          </cell>
          <cell r="H3387">
            <v>80</v>
          </cell>
          <cell r="I3387">
            <v>70000</v>
          </cell>
        </row>
        <row r="3388">
          <cell r="A3388">
            <v>45536</v>
          </cell>
          <cell r="B3388" t="str">
            <v>Arjun Subaraman</v>
          </cell>
          <cell r="E3388" t="str">
            <v>FOGH</v>
          </cell>
          <cell r="F3388" t="str">
            <v>AM</v>
          </cell>
          <cell r="H3388">
            <v>314</v>
          </cell>
          <cell r="I3388">
            <v>18000</v>
          </cell>
        </row>
        <row r="3389">
          <cell r="A3389">
            <v>45536</v>
          </cell>
          <cell r="B3389" t="str">
            <v>Ghassan Fouany</v>
          </cell>
          <cell r="E3389" t="str">
            <v>FOGH</v>
          </cell>
          <cell r="F3389" t="str">
            <v>AM</v>
          </cell>
          <cell r="H3389">
            <v>100</v>
          </cell>
          <cell r="I3389">
            <v>15600</v>
          </cell>
        </row>
        <row r="3390">
          <cell r="A3390">
            <v>45536</v>
          </cell>
          <cell r="B3390" t="str">
            <v>Inayat Fazili</v>
          </cell>
          <cell r="E3390" t="str">
            <v>FOGH</v>
          </cell>
          <cell r="F3390" t="str">
            <v>AM</v>
          </cell>
          <cell r="H3390">
            <v>120</v>
          </cell>
          <cell r="I3390">
            <v>16000</v>
          </cell>
        </row>
        <row r="3391">
          <cell r="A3391">
            <v>45536</v>
          </cell>
          <cell r="B3391" t="str">
            <v>Mohamed Mostafa</v>
          </cell>
          <cell r="E3391" t="str">
            <v>FOGH</v>
          </cell>
          <cell r="F3391" t="str">
            <v>AM</v>
          </cell>
          <cell r="H3391">
            <v>150</v>
          </cell>
          <cell r="I3391">
            <v>18000</v>
          </cell>
        </row>
        <row r="3392">
          <cell r="A3392">
            <v>45536</v>
          </cell>
          <cell r="B3392" t="str">
            <v>Mohd Sheikh Salem</v>
          </cell>
          <cell r="E3392" t="str">
            <v>FOGH</v>
          </cell>
          <cell r="F3392" t="str">
            <v>AM</v>
          </cell>
          <cell r="H3392">
            <v>120</v>
          </cell>
          <cell r="I3392">
            <v>15600</v>
          </cell>
        </row>
        <row r="3393">
          <cell r="A3393">
            <v>45536</v>
          </cell>
          <cell r="B3393" t="str">
            <v>Nadeem Rasheed</v>
          </cell>
          <cell r="E3393" t="str">
            <v>FOGH</v>
          </cell>
          <cell r="F3393" t="str">
            <v>AM</v>
          </cell>
          <cell r="H3393">
            <v>120</v>
          </cell>
          <cell r="I3393">
            <v>16000</v>
          </cell>
        </row>
        <row r="3394">
          <cell r="A3394">
            <v>45536</v>
          </cell>
          <cell r="B3394" t="str">
            <v>Ramy Abdel Fattah</v>
          </cell>
          <cell r="E3394" t="str">
            <v>FOGH</v>
          </cell>
          <cell r="F3394" t="str">
            <v>AM</v>
          </cell>
          <cell r="H3394">
            <v>60</v>
          </cell>
          <cell r="I3394">
            <v>50000</v>
          </cell>
        </row>
        <row r="3395">
          <cell r="A3395">
            <v>45536</v>
          </cell>
          <cell r="B3395" t="str">
            <v>Mohamed AlZarooni</v>
          </cell>
          <cell r="E3395" t="str">
            <v>HUNT</v>
          </cell>
          <cell r="F3395" t="str">
            <v>D</v>
          </cell>
          <cell r="H3395">
            <v>289</v>
          </cell>
          <cell r="I3395">
            <v>58000</v>
          </cell>
        </row>
        <row r="3396">
          <cell r="A3396">
            <v>45536</v>
          </cell>
          <cell r="B3396" t="str">
            <v>Adnan Bashir</v>
          </cell>
          <cell r="E3396" t="str">
            <v>HUNT</v>
          </cell>
          <cell r="F3396" t="str">
            <v>AM</v>
          </cell>
          <cell r="H3396">
            <v>59</v>
          </cell>
          <cell r="I3396">
            <v>11600</v>
          </cell>
        </row>
        <row r="3397">
          <cell r="A3397">
            <v>45536</v>
          </cell>
          <cell r="B3397" t="str">
            <v>Ammar Aladily</v>
          </cell>
          <cell r="E3397" t="str">
            <v>HUNT</v>
          </cell>
          <cell r="F3397" t="str">
            <v>AM</v>
          </cell>
          <cell r="H3397">
            <v>58</v>
          </cell>
          <cell r="I3397">
            <v>11600</v>
          </cell>
        </row>
        <row r="3398">
          <cell r="A3398">
            <v>45536</v>
          </cell>
          <cell r="B3398" t="str">
            <v>Anastasia Maltseva</v>
          </cell>
          <cell r="E3398" t="str">
            <v>HUNT</v>
          </cell>
          <cell r="F3398" t="str">
            <v>AM</v>
          </cell>
          <cell r="H3398">
            <v>58</v>
          </cell>
          <cell r="I3398">
            <v>11600</v>
          </cell>
        </row>
        <row r="3399">
          <cell r="A3399">
            <v>45536</v>
          </cell>
          <cell r="B3399" t="str">
            <v>Favas Kurinhilayil</v>
          </cell>
          <cell r="E3399" t="str">
            <v>HUNT</v>
          </cell>
          <cell r="F3399" t="str">
            <v>AM</v>
          </cell>
          <cell r="H3399">
            <v>57</v>
          </cell>
          <cell r="I3399">
            <v>11600</v>
          </cell>
        </row>
        <row r="3400">
          <cell r="A3400">
            <v>45536</v>
          </cell>
          <cell r="B3400" t="str">
            <v>Othman Hassan</v>
          </cell>
          <cell r="E3400" t="str">
            <v>HUNT</v>
          </cell>
          <cell r="F3400" t="str">
            <v>AM</v>
          </cell>
          <cell r="H3400">
            <v>57</v>
          </cell>
          <cell r="I3400">
            <v>11600</v>
          </cell>
        </row>
        <row r="3401">
          <cell r="A3401">
            <v>45536</v>
          </cell>
          <cell r="B3401" t="str">
            <v>Hany Jawee</v>
          </cell>
          <cell r="E3401" t="str">
            <v>TRE</v>
          </cell>
          <cell r="F3401" t="str">
            <v>D</v>
          </cell>
          <cell r="H3401">
            <v>520</v>
          </cell>
          <cell r="I3401">
            <v>306200</v>
          </cell>
        </row>
        <row r="3402">
          <cell r="A3402">
            <v>45536</v>
          </cell>
          <cell r="B3402" t="str">
            <v>Ahmad Ozdamir</v>
          </cell>
          <cell r="E3402" t="str">
            <v>TRE</v>
          </cell>
          <cell r="F3402" t="str">
            <v>AM</v>
          </cell>
          <cell r="H3402">
            <v>54</v>
          </cell>
          <cell r="I3402">
            <v>26766</v>
          </cell>
        </row>
        <row r="3403">
          <cell r="A3403">
            <v>45536</v>
          </cell>
          <cell r="B3403" t="str">
            <v>Amjad Ilwan</v>
          </cell>
          <cell r="E3403" t="str">
            <v>TRE</v>
          </cell>
          <cell r="F3403" t="str">
            <v>AM</v>
          </cell>
          <cell r="H3403">
            <v>55</v>
          </cell>
          <cell r="I3403">
            <v>46747</v>
          </cell>
        </row>
        <row r="3404">
          <cell r="A3404">
            <v>45536</v>
          </cell>
          <cell r="B3404" t="str">
            <v>Ehab Hajou</v>
          </cell>
          <cell r="E3404" t="str">
            <v>TRE</v>
          </cell>
          <cell r="F3404" t="str">
            <v>AM</v>
          </cell>
          <cell r="H3404">
            <v>49</v>
          </cell>
          <cell r="I3404">
            <v>50659</v>
          </cell>
        </row>
        <row r="3405">
          <cell r="A3405">
            <v>45536</v>
          </cell>
          <cell r="B3405" t="str">
            <v>Fadi Saleh</v>
          </cell>
          <cell r="E3405" t="str">
            <v>TRE</v>
          </cell>
          <cell r="F3405" t="str">
            <v>AM</v>
          </cell>
          <cell r="H3405">
            <v>49</v>
          </cell>
          <cell r="I3405">
            <v>25805</v>
          </cell>
        </row>
        <row r="3406">
          <cell r="A3406">
            <v>45536</v>
          </cell>
          <cell r="B3406" t="str">
            <v>Majid Abdulla</v>
          </cell>
          <cell r="E3406" t="str">
            <v>TRE</v>
          </cell>
          <cell r="F3406" t="str">
            <v>AM</v>
          </cell>
          <cell r="H3406">
            <v>40</v>
          </cell>
          <cell r="I3406">
            <v>16873</v>
          </cell>
        </row>
        <row r="3407">
          <cell r="A3407">
            <v>45536</v>
          </cell>
          <cell r="B3407" t="str">
            <v>Mehfooz Mir</v>
          </cell>
          <cell r="E3407" t="str">
            <v>TRE</v>
          </cell>
          <cell r="F3407" t="str">
            <v>AM</v>
          </cell>
          <cell r="H3407">
            <v>45</v>
          </cell>
          <cell r="I3407">
            <v>27466</v>
          </cell>
        </row>
        <row r="3408">
          <cell r="A3408">
            <v>45536</v>
          </cell>
          <cell r="B3408" t="str">
            <v>Mostafa Mekawy</v>
          </cell>
          <cell r="E3408" t="str">
            <v>TRE</v>
          </cell>
          <cell r="F3408" t="str">
            <v>AM</v>
          </cell>
          <cell r="H3408">
            <v>54</v>
          </cell>
          <cell r="I3408">
            <v>31227</v>
          </cell>
        </row>
        <row r="3409">
          <cell r="A3409">
            <v>45536</v>
          </cell>
          <cell r="B3409" t="str">
            <v>Rijith Menon</v>
          </cell>
          <cell r="E3409" t="str">
            <v>TRE</v>
          </cell>
          <cell r="F3409" t="str">
            <v>AM</v>
          </cell>
          <cell r="H3409">
            <v>65</v>
          </cell>
          <cell r="I3409">
            <v>26670</v>
          </cell>
        </row>
        <row r="3410">
          <cell r="A3410">
            <v>45536</v>
          </cell>
          <cell r="B3410" t="str">
            <v>Suleiman Wanni</v>
          </cell>
          <cell r="E3410" t="str">
            <v>TRE</v>
          </cell>
          <cell r="F3410" t="str">
            <v>AM</v>
          </cell>
          <cell r="H3410">
            <v>44</v>
          </cell>
          <cell r="I3410">
            <v>26308</v>
          </cell>
        </row>
        <row r="3411">
          <cell r="A3411">
            <v>45536</v>
          </cell>
          <cell r="B3411" t="str">
            <v>Waseem Suhaf</v>
          </cell>
          <cell r="E3411" t="str">
            <v>TRE</v>
          </cell>
          <cell r="F3411" t="str">
            <v>AM</v>
          </cell>
          <cell r="H3411">
            <v>65</v>
          </cell>
          <cell r="I3411">
            <v>27679</v>
          </cell>
        </row>
        <row r="3412">
          <cell r="A3412">
            <v>45536</v>
          </cell>
          <cell r="B3412" t="str">
            <v>Muhammad Shahzad Hasan</v>
          </cell>
          <cell r="E3412" t="str">
            <v>TRM</v>
          </cell>
          <cell r="F3412" t="str">
            <v>D</v>
          </cell>
          <cell r="H3412">
            <v>1078</v>
          </cell>
          <cell r="I3412">
            <v>148200</v>
          </cell>
        </row>
        <row r="3413">
          <cell r="A3413">
            <v>45536</v>
          </cell>
          <cell r="B3413" t="str">
            <v>Eslam Hassan</v>
          </cell>
          <cell r="E3413" t="str">
            <v>TRM</v>
          </cell>
          <cell r="F3413" t="str">
            <v>AM</v>
          </cell>
          <cell r="H3413">
            <v>120</v>
          </cell>
          <cell r="I3413">
            <v>15000</v>
          </cell>
        </row>
        <row r="3414">
          <cell r="A3414">
            <v>45536</v>
          </cell>
          <cell r="B3414" t="str">
            <v>Khaled Abdelaziz</v>
          </cell>
          <cell r="E3414" t="str">
            <v>TRM</v>
          </cell>
          <cell r="F3414" t="str">
            <v>AM</v>
          </cell>
          <cell r="H3414">
            <v>100</v>
          </cell>
          <cell r="I3414">
            <v>15000</v>
          </cell>
        </row>
        <row r="3415">
          <cell r="A3415">
            <v>45536</v>
          </cell>
          <cell r="B3415" t="str">
            <v>Mohamad Labban</v>
          </cell>
          <cell r="E3415" t="str">
            <v>TRM</v>
          </cell>
          <cell r="F3415" t="str">
            <v>AM</v>
          </cell>
          <cell r="H3415">
            <v>60</v>
          </cell>
          <cell r="I3415">
            <v>26000</v>
          </cell>
        </row>
        <row r="3416">
          <cell r="A3416">
            <v>45536</v>
          </cell>
          <cell r="B3416" t="str">
            <v>Mohamed Kishk</v>
          </cell>
          <cell r="E3416" t="str">
            <v>TRM</v>
          </cell>
          <cell r="F3416" t="str">
            <v>AM</v>
          </cell>
          <cell r="H3416">
            <v>298</v>
          </cell>
          <cell r="I3416">
            <v>15000</v>
          </cell>
        </row>
        <row r="3417">
          <cell r="A3417">
            <v>45536</v>
          </cell>
          <cell r="B3417" t="str">
            <v>Mushahid Hussain Syed</v>
          </cell>
          <cell r="E3417" t="str">
            <v>TRM</v>
          </cell>
          <cell r="F3417" t="str">
            <v>AM</v>
          </cell>
          <cell r="H3417">
            <v>120</v>
          </cell>
          <cell r="I3417">
            <v>14000</v>
          </cell>
        </row>
        <row r="3418">
          <cell r="A3418">
            <v>45536</v>
          </cell>
          <cell r="B3418" t="str">
            <v>Peter Sedrak</v>
          </cell>
          <cell r="E3418" t="str">
            <v>TRM</v>
          </cell>
          <cell r="F3418" t="str">
            <v>AM</v>
          </cell>
          <cell r="H3418">
            <v>150</v>
          </cell>
          <cell r="I3418">
            <v>24200</v>
          </cell>
        </row>
        <row r="3419">
          <cell r="A3419">
            <v>45536</v>
          </cell>
          <cell r="B3419" t="str">
            <v>Shabbir Lacewala</v>
          </cell>
          <cell r="E3419" t="str">
            <v>TRM</v>
          </cell>
          <cell r="F3419" t="str">
            <v>AM</v>
          </cell>
          <cell r="H3419">
            <v>110</v>
          </cell>
          <cell r="I3419">
            <v>24000</v>
          </cell>
        </row>
        <row r="3420">
          <cell r="A3420">
            <v>45536</v>
          </cell>
          <cell r="B3420" t="str">
            <v>Simon Williams</v>
          </cell>
          <cell r="E3420" t="str">
            <v>TRM</v>
          </cell>
          <cell r="F3420" t="str">
            <v>AM</v>
          </cell>
          <cell r="H3420">
            <v>120</v>
          </cell>
          <cell r="I3420">
            <v>15000</v>
          </cell>
        </row>
        <row r="3421">
          <cell r="A3421">
            <v>45566</v>
          </cell>
          <cell r="B3421" t="str">
            <v>Khalid Karmastaji</v>
          </cell>
          <cell r="E3421" t="str">
            <v>AUH</v>
          </cell>
          <cell r="F3421" t="str">
            <v>D</v>
          </cell>
          <cell r="H3421">
            <v>798</v>
          </cell>
          <cell r="I3421">
            <v>341882</v>
          </cell>
        </row>
        <row r="3422">
          <cell r="A3422">
            <v>45566</v>
          </cell>
          <cell r="B3422" t="str">
            <v>Ammar Alqudsi</v>
          </cell>
          <cell r="E3422" t="str">
            <v>AUH</v>
          </cell>
          <cell r="F3422" t="str">
            <v>AM</v>
          </cell>
          <cell r="H3422">
            <v>270</v>
          </cell>
          <cell r="I3422">
            <v>33735</v>
          </cell>
        </row>
        <row r="3423">
          <cell r="A3423">
            <v>45566</v>
          </cell>
          <cell r="B3423" t="str">
            <v>Muhammad Nauman Khan</v>
          </cell>
          <cell r="E3423" t="str">
            <v>AUH</v>
          </cell>
          <cell r="F3423" t="str">
            <v>AM</v>
          </cell>
          <cell r="H3423">
            <v>125</v>
          </cell>
          <cell r="I3423">
            <v>137205</v>
          </cell>
        </row>
        <row r="3424">
          <cell r="A3424">
            <v>45566</v>
          </cell>
          <cell r="B3424" t="str">
            <v>Omar AlHammadi</v>
          </cell>
          <cell r="E3424" t="str">
            <v>AUH</v>
          </cell>
          <cell r="F3424" t="str">
            <v>AM</v>
          </cell>
          <cell r="H3424">
            <v>283</v>
          </cell>
          <cell r="I3424">
            <v>32735</v>
          </cell>
        </row>
        <row r="3425">
          <cell r="A3425">
            <v>45566</v>
          </cell>
          <cell r="B3425" t="str">
            <v>Tarek Solh</v>
          </cell>
          <cell r="E3425" t="str">
            <v>AUH</v>
          </cell>
          <cell r="F3425" t="str">
            <v>AM</v>
          </cell>
          <cell r="H3425">
            <v>120</v>
          </cell>
          <cell r="I3425">
            <v>138207</v>
          </cell>
        </row>
        <row r="3426">
          <cell r="A3426">
            <v>45566</v>
          </cell>
          <cell r="B3426" t="str">
            <v>Mohamad Amer Sibai</v>
          </cell>
          <cell r="E3426" t="str">
            <v>DXB</v>
          </cell>
          <cell r="F3426" t="str">
            <v>D</v>
          </cell>
          <cell r="H3426">
            <v>965</v>
          </cell>
          <cell r="I3426">
            <v>185456</v>
          </cell>
        </row>
        <row r="3427">
          <cell r="A3427">
            <v>45566</v>
          </cell>
          <cell r="B3427" t="str">
            <v>Ali Alzarooni</v>
          </cell>
          <cell r="E3427" t="str">
            <v>DXB</v>
          </cell>
          <cell r="F3427" t="str">
            <v>AM</v>
          </cell>
          <cell r="H3427">
            <v>200</v>
          </cell>
          <cell r="I3427">
            <v>42000</v>
          </cell>
        </row>
        <row r="3428">
          <cell r="A3428">
            <v>45566</v>
          </cell>
          <cell r="B3428" t="str">
            <v>Humaid Al Ali</v>
          </cell>
          <cell r="E3428" t="str">
            <v>DXB</v>
          </cell>
          <cell r="F3428" t="str">
            <v>AM</v>
          </cell>
          <cell r="H3428">
            <v>335</v>
          </cell>
          <cell r="I3428">
            <v>23000</v>
          </cell>
        </row>
        <row r="3429">
          <cell r="A3429">
            <v>45566</v>
          </cell>
          <cell r="B3429" t="str">
            <v>Mohamed Mady</v>
          </cell>
          <cell r="E3429" t="str">
            <v>DXB</v>
          </cell>
          <cell r="F3429" t="str">
            <v>AM</v>
          </cell>
          <cell r="H3429">
            <v>30</v>
          </cell>
          <cell r="I3429">
            <v>48256</v>
          </cell>
        </row>
        <row r="3430">
          <cell r="A3430">
            <v>45566</v>
          </cell>
          <cell r="B3430" t="str">
            <v>Ramzi Gholmieh</v>
          </cell>
          <cell r="E3430" t="str">
            <v>DXB</v>
          </cell>
          <cell r="F3430" t="str">
            <v>AM</v>
          </cell>
          <cell r="H3430">
            <v>50</v>
          </cell>
          <cell r="I3430">
            <v>52200</v>
          </cell>
        </row>
        <row r="3431">
          <cell r="A3431">
            <v>45566</v>
          </cell>
          <cell r="B3431" t="str">
            <v>Talal Ahmed Ali Alsharhan</v>
          </cell>
          <cell r="E3431" t="str">
            <v>DXB</v>
          </cell>
          <cell r="F3431" t="str">
            <v>AM</v>
          </cell>
          <cell r="H3431">
            <v>350</v>
          </cell>
          <cell r="I3431">
            <v>20000</v>
          </cell>
        </row>
        <row r="3432">
          <cell r="A3432">
            <v>45566</v>
          </cell>
          <cell r="B3432" t="str">
            <v>Khaled Al Awadi</v>
          </cell>
          <cell r="E3432" t="str">
            <v>F-NE</v>
          </cell>
          <cell r="F3432" t="str">
            <v>D</v>
          </cell>
          <cell r="H3432">
            <v>5948</v>
          </cell>
          <cell r="I3432">
            <v>56313</v>
          </cell>
        </row>
        <row r="3433">
          <cell r="A3433">
            <v>45566</v>
          </cell>
          <cell r="B3433" t="str">
            <v>Bader Al Shehhi</v>
          </cell>
          <cell r="E3433" t="str">
            <v>F-NE</v>
          </cell>
          <cell r="F3433" t="str">
            <v>AM</v>
          </cell>
          <cell r="H3433">
            <v>840</v>
          </cell>
          <cell r="I3433">
            <v>3500</v>
          </cell>
        </row>
        <row r="3434">
          <cell r="A3434">
            <v>45566</v>
          </cell>
          <cell r="B3434" t="str">
            <v>Bashar Al Adilee</v>
          </cell>
          <cell r="E3434" t="str">
            <v>F-NE</v>
          </cell>
          <cell r="F3434" t="str">
            <v>AM</v>
          </cell>
          <cell r="H3434">
            <v>840</v>
          </cell>
          <cell r="I3434">
            <v>25000</v>
          </cell>
        </row>
        <row r="3435">
          <cell r="A3435">
            <v>45566</v>
          </cell>
          <cell r="B3435" t="str">
            <v>Khalid Mohammed</v>
          </cell>
          <cell r="E3435" t="str">
            <v>F-NE</v>
          </cell>
          <cell r="F3435" t="str">
            <v>AM</v>
          </cell>
          <cell r="H3435">
            <v>840</v>
          </cell>
          <cell r="I3435">
            <v>5500</v>
          </cell>
        </row>
        <row r="3436">
          <cell r="A3436">
            <v>45566</v>
          </cell>
          <cell r="B3436" t="str">
            <v>Majd Nairoukh</v>
          </cell>
          <cell r="E3436" t="str">
            <v>F-NE</v>
          </cell>
          <cell r="F3436" t="str">
            <v>AM</v>
          </cell>
          <cell r="H3436">
            <v>1100</v>
          </cell>
          <cell r="I3436">
            <v>9313</v>
          </cell>
        </row>
        <row r="3437">
          <cell r="A3437">
            <v>45566</v>
          </cell>
          <cell r="B3437" t="str">
            <v>Nader AlMustafa</v>
          </cell>
          <cell r="E3437" t="str">
            <v>F-NE</v>
          </cell>
          <cell r="F3437" t="str">
            <v>AM</v>
          </cell>
          <cell r="H3437">
            <v>1500</v>
          </cell>
          <cell r="I3437">
            <v>10000</v>
          </cell>
        </row>
        <row r="3438">
          <cell r="A3438">
            <v>45566</v>
          </cell>
          <cell r="B3438" t="str">
            <v>Yousef Al Baloushi</v>
          </cell>
          <cell r="E3438" t="str">
            <v>F-NE</v>
          </cell>
          <cell r="F3438" t="str">
            <v>AM</v>
          </cell>
          <cell r="H3438">
            <v>828</v>
          </cell>
          <cell r="I3438">
            <v>3000</v>
          </cell>
        </row>
        <row r="3439">
          <cell r="A3439">
            <v>45566</v>
          </cell>
          <cell r="B3439" t="str">
            <v>Mazen Adem</v>
          </cell>
          <cell r="E3439" t="str">
            <v>FOGH</v>
          </cell>
          <cell r="F3439" t="str">
            <v>D</v>
          </cell>
          <cell r="H3439">
            <v>1880</v>
          </cell>
          <cell r="I3439">
            <v>343133</v>
          </cell>
        </row>
        <row r="3440">
          <cell r="A3440">
            <v>45566</v>
          </cell>
          <cell r="B3440" t="str">
            <v>Abdel Azim Sharabati</v>
          </cell>
          <cell r="E3440" t="str">
            <v>FOGH</v>
          </cell>
          <cell r="F3440" t="str">
            <v>AM</v>
          </cell>
          <cell r="H3440">
            <v>150</v>
          </cell>
          <cell r="I3440">
            <v>65171</v>
          </cell>
        </row>
        <row r="3441">
          <cell r="A3441">
            <v>45566</v>
          </cell>
          <cell r="B3441" t="str">
            <v>Abraham Cherian</v>
          </cell>
          <cell r="E3441" t="str">
            <v>FOGH</v>
          </cell>
          <cell r="F3441" t="str">
            <v>AM</v>
          </cell>
          <cell r="H3441">
            <v>150</v>
          </cell>
          <cell r="I3441">
            <v>80171</v>
          </cell>
        </row>
        <row r="3442">
          <cell r="A3442">
            <v>45566</v>
          </cell>
          <cell r="B3442" t="str">
            <v>Arjun Subaraman</v>
          </cell>
          <cell r="E3442" t="str">
            <v>FOGH</v>
          </cell>
          <cell r="F3442" t="str">
            <v>AM</v>
          </cell>
          <cell r="H3442">
            <v>200</v>
          </cell>
          <cell r="I3442">
            <v>28170</v>
          </cell>
        </row>
        <row r="3443">
          <cell r="A3443">
            <v>45566</v>
          </cell>
          <cell r="B3443" t="str">
            <v>Ghassan Fouany</v>
          </cell>
          <cell r="E3443" t="str">
            <v>FOGH</v>
          </cell>
          <cell r="F3443" t="str">
            <v>AM</v>
          </cell>
          <cell r="H3443">
            <v>300</v>
          </cell>
          <cell r="I3443">
            <v>35170</v>
          </cell>
        </row>
        <row r="3444">
          <cell r="A3444">
            <v>45566</v>
          </cell>
          <cell r="B3444" t="str">
            <v>Inayat Fazili</v>
          </cell>
          <cell r="E3444" t="str">
            <v>FOGH</v>
          </cell>
          <cell r="F3444" t="str">
            <v>AM</v>
          </cell>
          <cell r="H3444">
            <v>150</v>
          </cell>
          <cell r="I3444">
            <v>27170</v>
          </cell>
        </row>
        <row r="3445">
          <cell r="A3445">
            <v>45566</v>
          </cell>
          <cell r="B3445" t="str">
            <v>Mohamed Mostafa</v>
          </cell>
          <cell r="E3445" t="str">
            <v>FOGH</v>
          </cell>
          <cell r="F3445" t="str">
            <v>AM</v>
          </cell>
          <cell r="H3445">
            <v>200</v>
          </cell>
          <cell r="I3445">
            <v>30170</v>
          </cell>
        </row>
        <row r="3446">
          <cell r="A3446">
            <v>45566</v>
          </cell>
          <cell r="B3446" t="str">
            <v>Mohd Sheikh Salem</v>
          </cell>
          <cell r="E3446" t="str">
            <v>FOGH</v>
          </cell>
          <cell r="F3446" t="str">
            <v>AM</v>
          </cell>
          <cell r="H3446">
            <v>300</v>
          </cell>
          <cell r="I3446">
            <v>25770</v>
          </cell>
        </row>
        <row r="3447">
          <cell r="A3447">
            <v>45566</v>
          </cell>
          <cell r="B3447" t="str">
            <v>Nadeem Rasheed</v>
          </cell>
          <cell r="E3447" t="str">
            <v>FOGH</v>
          </cell>
          <cell r="F3447" t="str">
            <v>AM</v>
          </cell>
          <cell r="H3447">
            <v>160</v>
          </cell>
          <cell r="I3447">
            <v>26170</v>
          </cell>
        </row>
        <row r="3448">
          <cell r="A3448">
            <v>45566</v>
          </cell>
          <cell r="B3448" t="str">
            <v>Ramy Abdel Fattah</v>
          </cell>
          <cell r="E3448" t="str">
            <v>FOGH</v>
          </cell>
          <cell r="F3448" t="str">
            <v>AM</v>
          </cell>
          <cell r="H3448">
            <v>270</v>
          </cell>
          <cell r="I3448">
            <v>25171</v>
          </cell>
        </row>
        <row r="3449">
          <cell r="A3449">
            <v>45566</v>
          </cell>
          <cell r="B3449" t="str">
            <v>Mohamed AlZarooni</v>
          </cell>
          <cell r="E3449" t="str">
            <v>HUNT</v>
          </cell>
          <cell r="F3449" t="str">
            <v>D</v>
          </cell>
          <cell r="H3449">
            <v>384</v>
          </cell>
          <cell r="I3449">
            <v>72581</v>
          </cell>
        </row>
        <row r="3450">
          <cell r="A3450">
            <v>45566</v>
          </cell>
          <cell r="B3450" t="str">
            <v>Adnan Bashir</v>
          </cell>
          <cell r="E3450" t="str">
            <v>HUNT</v>
          </cell>
          <cell r="F3450" t="str">
            <v>AM</v>
          </cell>
          <cell r="H3450">
            <v>96</v>
          </cell>
          <cell r="I3450">
            <v>18145</v>
          </cell>
        </row>
        <row r="3451">
          <cell r="A3451">
            <v>45566</v>
          </cell>
          <cell r="B3451" t="str">
            <v>Anastasia Maltseva</v>
          </cell>
          <cell r="E3451" t="str">
            <v>HUNT</v>
          </cell>
          <cell r="F3451" t="str">
            <v>AM</v>
          </cell>
          <cell r="H3451">
            <v>96</v>
          </cell>
          <cell r="I3451">
            <v>18145</v>
          </cell>
        </row>
        <row r="3452">
          <cell r="A3452">
            <v>45566</v>
          </cell>
          <cell r="B3452" t="str">
            <v>Favas Kurinhilayil</v>
          </cell>
          <cell r="E3452" t="str">
            <v>HUNT</v>
          </cell>
          <cell r="F3452" t="str">
            <v>AM</v>
          </cell>
          <cell r="H3452">
            <v>96</v>
          </cell>
          <cell r="I3452">
            <v>18145</v>
          </cell>
        </row>
        <row r="3453">
          <cell r="A3453">
            <v>45566</v>
          </cell>
          <cell r="B3453" t="str">
            <v>Othman Hassan</v>
          </cell>
          <cell r="E3453" t="str">
            <v>HUNT</v>
          </cell>
          <cell r="F3453" t="str">
            <v>AM</v>
          </cell>
          <cell r="H3453">
            <v>96</v>
          </cell>
          <cell r="I3453">
            <v>18146</v>
          </cell>
        </row>
        <row r="3454">
          <cell r="A3454">
            <v>45566</v>
          </cell>
          <cell r="B3454" t="str">
            <v>Hany Jawee</v>
          </cell>
          <cell r="E3454" t="str">
            <v>TRE</v>
          </cell>
          <cell r="F3454" t="str">
            <v>D</v>
          </cell>
          <cell r="H3454">
            <v>692</v>
          </cell>
          <cell r="I3454">
            <v>383178</v>
          </cell>
        </row>
        <row r="3455">
          <cell r="A3455">
            <v>45566</v>
          </cell>
          <cell r="B3455" t="str">
            <v>Ahmad Ozdamir</v>
          </cell>
          <cell r="E3455" t="str">
            <v>TRE</v>
          </cell>
          <cell r="F3455" t="str">
            <v>AM</v>
          </cell>
          <cell r="H3455">
            <v>60</v>
          </cell>
          <cell r="I3455">
            <v>34013</v>
          </cell>
        </row>
        <row r="3456">
          <cell r="A3456">
            <v>45566</v>
          </cell>
          <cell r="B3456" t="str">
            <v>Amjad Ilwan</v>
          </cell>
          <cell r="E3456" t="str">
            <v>TRE</v>
          </cell>
          <cell r="F3456" t="str">
            <v>AM</v>
          </cell>
          <cell r="H3456">
            <v>47</v>
          </cell>
          <cell r="I3456">
            <v>33994</v>
          </cell>
        </row>
        <row r="3457">
          <cell r="A3457">
            <v>45566</v>
          </cell>
          <cell r="B3457" t="str">
            <v>Ehab Hajou</v>
          </cell>
          <cell r="E3457" t="str">
            <v>TRE</v>
          </cell>
          <cell r="F3457" t="str">
            <v>AM</v>
          </cell>
          <cell r="H3457">
            <v>70</v>
          </cell>
          <cell r="I3457">
            <v>33906</v>
          </cell>
        </row>
        <row r="3458">
          <cell r="A3458">
            <v>45566</v>
          </cell>
          <cell r="B3458" t="str">
            <v>Fadi Saleh</v>
          </cell>
          <cell r="E3458" t="str">
            <v>TRE</v>
          </cell>
          <cell r="F3458" t="str">
            <v>AM</v>
          </cell>
          <cell r="H3458">
            <v>50</v>
          </cell>
          <cell r="I3458">
            <v>34052</v>
          </cell>
        </row>
        <row r="3459">
          <cell r="A3459">
            <v>45566</v>
          </cell>
          <cell r="B3459" t="str">
            <v>Majid Abdulla</v>
          </cell>
          <cell r="E3459" t="str">
            <v>TRE</v>
          </cell>
          <cell r="F3459" t="str">
            <v>AM</v>
          </cell>
          <cell r="H3459">
            <v>50</v>
          </cell>
          <cell r="I3459">
            <v>24122</v>
          </cell>
        </row>
        <row r="3460">
          <cell r="A3460">
            <v>45566</v>
          </cell>
          <cell r="B3460" t="str">
            <v>Mehfooz Mir</v>
          </cell>
          <cell r="E3460" t="str">
            <v>TRE</v>
          </cell>
          <cell r="F3460" t="str">
            <v>AM</v>
          </cell>
          <cell r="H3460">
            <v>65</v>
          </cell>
          <cell r="I3460">
            <v>38713</v>
          </cell>
        </row>
        <row r="3461">
          <cell r="A3461">
            <v>45566</v>
          </cell>
          <cell r="B3461" t="str">
            <v>Mostafa Mekawy</v>
          </cell>
          <cell r="E3461" t="str">
            <v>TRE</v>
          </cell>
          <cell r="F3461" t="str">
            <v>AM</v>
          </cell>
          <cell r="H3461">
            <v>60</v>
          </cell>
          <cell r="I3461">
            <v>44474</v>
          </cell>
        </row>
        <row r="3462">
          <cell r="A3462">
            <v>45566</v>
          </cell>
          <cell r="B3462" t="str">
            <v>Rijith Menon</v>
          </cell>
          <cell r="E3462" t="str">
            <v>TRE</v>
          </cell>
          <cell r="F3462" t="str">
            <v>AM</v>
          </cell>
          <cell r="H3462">
            <v>200</v>
          </cell>
          <cell r="I3462">
            <v>25670</v>
          </cell>
        </row>
        <row r="3463">
          <cell r="A3463">
            <v>45566</v>
          </cell>
          <cell r="B3463" t="str">
            <v>Suleiman Wanni</v>
          </cell>
          <cell r="E3463" t="str">
            <v>TRE</v>
          </cell>
          <cell r="F3463" t="str">
            <v>AM</v>
          </cell>
          <cell r="H3463">
            <v>45</v>
          </cell>
          <cell r="I3463">
            <v>75308</v>
          </cell>
        </row>
        <row r="3464">
          <cell r="A3464">
            <v>45566</v>
          </cell>
          <cell r="B3464" t="str">
            <v>Waseem Suhaf</v>
          </cell>
          <cell r="E3464" t="str">
            <v>TRE</v>
          </cell>
          <cell r="F3464" t="str">
            <v>AM</v>
          </cell>
          <cell r="H3464">
            <v>45</v>
          </cell>
          <cell r="I3464">
            <v>38926</v>
          </cell>
        </row>
        <row r="3465">
          <cell r="A3465">
            <v>45566</v>
          </cell>
          <cell r="B3465" t="str">
            <v>Muhammad Shahzad Hasan</v>
          </cell>
          <cell r="E3465" t="str">
            <v>TRM</v>
          </cell>
          <cell r="F3465" t="str">
            <v>D</v>
          </cell>
          <cell r="H3465">
            <v>1433</v>
          </cell>
          <cell r="I3465">
            <v>185457</v>
          </cell>
        </row>
        <row r="3466">
          <cell r="A3466">
            <v>45566</v>
          </cell>
          <cell r="B3466" t="str">
            <v>Eslam Hassan</v>
          </cell>
          <cell r="E3466" t="str">
            <v>TRM</v>
          </cell>
          <cell r="F3466" t="str">
            <v>AM</v>
          </cell>
          <cell r="H3466">
            <v>120</v>
          </cell>
          <cell r="I3466">
            <v>27400</v>
          </cell>
        </row>
        <row r="3467">
          <cell r="A3467">
            <v>45566</v>
          </cell>
          <cell r="B3467" t="str">
            <v>Khaled Abdelaziz</v>
          </cell>
          <cell r="E3467" t="str">
            <v>TRM</v>
          </cell>
          <cell r="F3467" t="str">
            <v>AM</v>
          </cell>
          <cell r="H3467">
            <v>120</v>
          </cell>
          <cell r="I3467">
            <v>27400</v>
          </cell>
        </row>
        <row r="3468">
          <cell r="A3468">
            <v>45566</v>
          </cell>
          <cell r="B3468" t="str">
            <v>Mohamad Labban</v>
          </cell>
          <cell r="E3468" t="str">
            <v>TRM</v>
          </cell>
          <cell r="F3468" t="str">
            <v>AM</v>
          </cell>
          <cell r="H3468">
            <v>120</v>
          </cell>
          <cell r="I3468">
            <v>27400</v>
          </cell>
        </row>
        <row r="3469">
          <cell r="A3469">
            <v>45566</v>
          </cell>
          <cell r="B3469" t="str">
            <v>Mohamed Kishk</v>
          </cell>
          <cell r="E3469" t="str">
            <v>TRM</v>
          </cell>
          <cell r="F3469" t="str">
            <v>AM</v>
          </cell>
          <cell r="H3469">
            <v>713</v>
          </cell>
          <cell r="I3469">
            <v>21057</v>
          </cell>
        </row>
        <row r="3470">
          <cell r="A3470">
            <v>45566</v>
          </cell>
          <cell r="B3470" t="str">
            <v>Mushahid Hussain Syed</v>
          </cell>
          <cell r="E3470" t="str">
            <v>TRM</v>
          </cell>
          <cell r="F3470" t="str">
            <v>AM</v>
          </cell>
          <cell r="H3470">
            <v>120</v>
          </cell>
          <cell r="I3470">
            <v>27400</v>
          </cell>
        </row>
        <row r="3471">
          <cell r="A3471">
            <v>45566</v>
          </cell>
          <cell r="B3471" t="str">
            <v>Peter Sedrak</v>
          </cell>
          <cell r="E3471" t="str">
            <v>TRM</v>
          </cell>
          <cell r="F3471" t="str">
            <v>AM</v>
          </cell>
          <cell r="H3471">
            <v>120</v>
          </cell>
          <cell r="I3471">
            <v>27400</v>
          </cell>
        </row>
        <row r="3472">
          <cell r="A3472">
            <v>45566</v>
          </cell>
          <cell r="B3472" t="str">
            <v>Shabbir Lacewala</v>
          </cell>
          <cell r="E3472" t="str">
            <v>TRM</v>
          </cell>
          <cell r="F3472" t="str">
            <v>AM</v>
          </cell>
          <cell r="H3472">
            <v>120</v>
          </cell>
          <cell r="I3472">
            <v>27400</v>
          </cell>
        </row>
        <row r="3473">
          <cell r="A3473">
            <v>45566</v>
          </cell>
          <cell r="B3473" t="str">
            <v>Abdulghaffar Alkhaja</v>
          </cell>
          <cell r="E3473" t="str">
            <v>TRM</v>
          </cell>
          <cell r="F3473" t="str">
            <v>AM</v>
          </cell>
          <cell r="H3473">
            <v>50</v>
          </cell>
          <cell r="I3473">
            <v>5000</v>
          </cell>
        </row>
        <row r="3474">
          <cell r="A3474">
            <v>45597</v>
          </cell>
          <cell r="B3474" t="str">
            <v>Khalid Karmastaji</v>
          </cell>
          <cell r="E3474" t="str">
            <v>AUH</v>
          </cell>
          <cell r="F3474" t="str">
            <v>D</v>
          </cell>
          <cell r="H3474">
            <v>311</v>
          </cell>
          <cell r="I3474">
            <v>404428</v>
          </cell>
        </row>
        <row r="3475">
          <cell r="A3475">
            <v>45597</v>
          </cell>
          <cell r="B3475" t="str">
            <v>Ammar Alqudsi</v>
          </cell>
          <cell r="E3475" t="str">
            <v>AUH</v>
          </cell>
          <cell r="F3475" t="str">
            <v>AM</v>
          </cell>
          <cell r="H3475">
            <v>75</v>
          </cell>
          <cell r="I3475">
            <v>75428</v>
          </cell>
        </row>
        <row r="3476">
          <cell r="A3476">
            <v>45597</v>
          </cell>
          <cell r="B3476" t="str">
            <v>Muhammad Nauman Khan</v>
          </cell>
          <cell r="E3476" t="str">
            <v>AUH</v>
          </cell>
          <cell r="F3476" t="str">
            <v>AM</v>
          </cell>
          <cell r="H3476">
            <v>75</v>
          </cell>
          <cell r="I3476">
            <v>114000</v>
          </cell>
        </row>
        <row r="3477">
          <cell r="A3477">
            <v>45597</v>
          </cell>
          <cell r="B3477" t="str">
            <v>Omar AlHammadi</v>
          </cell>
          <cell r="E3477" t="str">
            <v>AUH</v>
          </cell>
          <cell r="F3477" t="str">
            <v>AM</v>
          </cell>
          <cell r="H3477">
            <v>100</v>
          </cell>
          <cell r="I3477">
            <v>75000</v>
          </cell>
        </row>
        <row r="3478">
          <cell r="A3478">
            <v>45597</v>
          </cell>
          <cell r="B3478" t="str">
            <v>Tarek Solh</v>
          </cell>
          <cell r="E3478" t="str">
            <v>AUH</v>
          </cell>
          <cell r="F3478" t="str">
            <v>AM</v>
          </cell>
          <cell r="H3478">
            <v>61</v>
          </cell>
          <cell r="I3478">
            <v>140000</v>
          </cell>
        </row>
        <row r="3479">
          <cell r="A3479">
            <v>45597</v>
          </cell>
          <cell r="B3479" t="str">
            <v>Mohamad Amer Sibai</v>
          </cell>
          <cell r="E3479" t="str">
            <v>DXB</v>
          </cell>
          <cell r="F3479" t="str">
            <v>D</v>
          </cell>
          <cell r="H3479">
            <v>981</v>
          </cell>
          <cell r="I3479">
            <v>213962</v>
          </cell>
        </row>
        <row r="3480">
          <cell r="A3480">
            <v>45597</v>
          </cell>
          <cell r="B3480" t="str">
            <v>Ali Alzarooni</v>
          </cell>
          <cell r="E3480" t="str">
            <v>DXB</v>
          </cell>
          <cell r="F3480" t="str">
            <v>AM</v>
          </cell>
          <cell r="H3480">
            <v>431</v>
          </cell>
          <cell r="I3480">
            <v>10000</v>
          </cell>
        </row>
        <row r="3481">
          <cell r="A3481">
            <v>45597</v>
          </cell>
          <cell r="B3481" t="str">
            <v>Humaid Al Ali</v>
          </cell>
          <cell r="E3481" t="str">
            <v>DXB</v>
          </cell>
          <cell r="F3481" t="str">
            <v>AM</v>
          </cell>
          <cell r="H3481">
            <v>130</v>
          </cell>
          <cell r="I3481">
            <v>107000</v>
          </cell>
        </row>
        <row r="3482">
          <cell r="A3482">
            <v>45597</v>
          </cell>
          <cell r="B3482" t="str">
            <v>Mohamed Mady</v>
          </cell>
          <cell r="E3482" t="str">
            <v>DXB</v>
          </cell>
          <cell r="F3482" t="str">
            <v>AM</v>
          </cell>
          <cell r="H3482">
            <v>60</v>
          </cell>
          <cell r="I3482">
            <v>10000</v>
          </cell>
        </row>
        <row r="3483">
          <cell r="A3483">
            <v>45597</v>
          </cell>
          <cell r="B3483" t="str">
            <v>Ramzi Gholmieh</v>
          </cell>
          <cell r="E3483" t="str">
            <v>DXB</v>
          </cell>
          <cell r="F3483" t="str">
            <v>AM</v>
          </cell>
          <cell r="H3483">
            <v>60</v>
          </cell>
          <cell r="I3483">
            <v>36962</v>
          </cell>
        </row>
        <row r="3484">
          <cell r="A3484">
            <v>45597</v>
          </cell>
          <cell r="B3484" t="str">
            <v>Talal Ahmed Ali Alsharhan</v>
          </cell>
          <cell r="E3484" t="str">
            <v>DXB</v>
          </cell>
          <cell r="F3484" t="str">
            <v>AM</v>
          </cell>
          <cell r="H3484">
            <v>300</v>
          </cell>
          <cell r="I3484">
            <v>50000</v>
          </cell>
        </row>
        <row r="3485">
          <cell r="A3485">
            <v>45597</v>
          </cell>
          <cell r="B3485" t="str">
            <v>Khaled Al Awadi</v>
          </cell>
          <cell r="E3485" t="str">
            <v>F-NE</v>
          </cell>
          <cell r="F3485" t="str">
            <v>D</v>
          </cell>
          <cell r="H3485">
            <v>6446</v>
          </cell>
          <cell r="I3485">
            <v>44968</v>
          </cell>
        </row>
        <row r="3486">
          <cell r="A3486">
            <v>45597</v>
          </cell>
          <cell r="B3486" t="str">
            <v>Bader Al Shehhi</v>
          </cell>
          <cell r="E3486" t="str">
            <v>F-NE</v>
          </cell>
          <cell r="F3486" t="str">
            <v>AM</v>
          </cell>
          <cell r="H3486">
            <v>896</v>
          </cell>
          <cell r="I3486">
            <v>12968</v>
          </cell>
        </row>
        <row r="3487">
          <cell r="A3487">
            <v>45597</v>
          </cell>
          <cell r="B3487" t="str">
            <v>Bashar Al Adilee</v>
          </cell>
          <cell r="E3487" t="str">
            <v>F-NE</v>
          </cell>
          <cell r="F3487" t="str">
            <v>AM</v>
          </cell>
          <cell r="H3487">
            <v>1175</v>
          </cell>
          <cell r="I3487">
            <v>7500</v>
          </cell>
        </row>
        <row r="3488">
          <cell r="A3488">
            <v>45597</v>
          </cell>
          <cell r="B3488" t="str">
            <v>Khalid Mohammed</v>
          </cell>
          <cell r="E3488" t="str">
            <v>F-NE</v>
          </cell>
          <cell r="F3488" t="str">
            <v>AM</v>
          </cell>
          <cell r="H3488">
            <v>1175</v>
          </cell>
          <cell r="I3488">
            <v>7500</v>
          </cell>
        </row>
        <row r="3489">
          <cell r="A3489">
            <v>45597</v>
          </cell>
          <cell r="B3489" t="str">
            <v>Majd Nairoukh</v>
          </cell>
          <cell r="E3489" t="str">
            <v>F-NE</v>
          </cell>
          <cell r="F3489" t="str">
            <v>AM</v>
          </cell>
          <cell r="H3489">
            <v>1100</v>
          </cell>
          <cell r="I3489">
            <v>5000</v>
          </cell>
        </row>
        <row r="3490">
          <cell r="A3490">
            <v>45597</v>
          </cell>
          <cell r="B3490" t="str">
            <v>Nader AlMustafa</v>
          </cell>
          <cell r="E3490" t="str">
            <v>F-NE</v>
          </cell>
          <cell r="F3490" t="str">
            <v>AM</v>
          </cell>
          <cell r="H3490">
            <v>1300</v>
          </cell>
          <cell r="I3490">
            <v>7000</v>
          </cell>
        </row>
        <row r="3491">
          <cell r="A3491">
            <v>45597</v>
          </cell>
          <cell r="B3491" t="str">
            <v>Yousef Al Baloushi</v>
          </cell>
          <cell r="E3491" t="str">
            <v>F-NE</v>
          </cell>
          <cell r="F3491" t="str">
            <v>AM</v>
          </cell>
          <cell r="H3491">
            <v>800</v>
          </cell>
          <cell r="I3491">
            <v>5000</v>
          </cell>
        </row>
        <row r="3492">
          <cell r="A3492">
            <v>45597</v>
          </cell>
          <cell r="B3492" t="str">
            <v>Mazen Adem</v>
          </cell>
          <cell r="E3492" t="str">
            <v>FOGH</v>
          </cell>
          <cell r="F3492" t="str">
            <v>D</v>
          </cell>
          <cell r="H3492">
            <v>1911</v>
          </cell>
          <cell r="I3492">
            <v>405872</v>
          </cell>
        </row>
        <row r="3493">
          <cell r="A3493">
            <v>45597</v>
          </cell>
          <cell r="B3493" t="str">
            <v>Abdel Azim Sharabati</v>
          </cell>
          <cell r="E3493" t="str">
            <v>FOGH</v>
          </cell>
          <cell r="F3493" t="str">
            <v>AM</v>
          </cell>
          <cell r="H3493">
            <v>81</v>
          </cell>
          <cell r="I3493">
            <v>82000</v>
          </cell>
        </row>
        <row r="3494">
          <cell r="A3494">
            <v>45597</v>
          </cell>
          <cell r="B3494" t="str">
            <v>Abraham Cherian</v>
          </cell>
          <cell r="E3494" t="str">
            <v>FOGH</v>
          </cell>
          <cell r="F3494" t="str">
            <v>AM</v>
          </cell>
          <cell r="H3494">
            <v>200</v>
          </cell>
          <cell r="I3494">
            <v>28000</v>
          </cell>
        </row>
        <row r="3495">
          <cell r="A3495">
            <v>45597</v>
          </cell>
          <cell r="B3495" t="str">
            <v>Arjun Subaraman</v>
          </cell>
          <cell r="E3495" t="str">
            <v>FOGH</v>
          </cell>
          <cell r="F3495" t="str">
            <v>AM</v>
          </cell>
          <cell r="H3495">
            <v>90</v>
          </cell>
          <cell r="I3495">
            <v>81872</v>
          </cell>
        </row>
        <row r="3496">
          <cell r="A3496">
            <v>45597</v>
          </cell>
          <cell r="B3496" t="str">
            <v>Ghassan Fouany</v>
          </cell>
          <cell r="E3496" t="str">
            <v>FOGH</v>
          </cell>
          <cell r="F3496" t="str">
            <v>AM</v>
          </cell>
          <cell r="H3496">
            <v>80</v>
          </cell>
          <cell r="I3496">
            <v>82000</v>
          </cell>
        </row>
        <row r="3497">
          <cell r="A3497">
            <v>45597</v>
          </cell>
          <cell r="B3497" t="str">
            <v>Inayat Fazili</v>
          </cell>
          <cell r="E3497" t="str">
            <v>FOGH</v>
          </cell>
          <cell r="F3497" t="str">
            <v>AM</v>
          </cell>
          <cell r="H3497">
            <v>254</v>
          </cell>
          <cell r="I3497">
            <v>24000</v>
          </cell>
        </row>
        <row r="3498">
          <cell r="A3498">
            <v>45597</v>
          </cell>
          <cell r="B3498" t="str">
            <v>Mohamed Mostafa</v>
          </cell>
          <cell r="E3498" t="str">
            <v>FOGH</v>
          </cell>
          <cell r="F3498" t="str">
            <v>AM</v>
          </cell>
          <cell r="H3498">
            <v>279</v>
          </cell>
          <cell r="I3498">
            <v>26000</v>
          </cell>
        </row>
        <row r="3499">
          <cell r="A3499">
            <v>45597</v>
          </cell>
          <cell r="B3499" t="str">
            <v>Mohd Sheikh Salem</v>
          </cell>
          <cell r="E3499" t="str">
            <v>FOGH</v>
          </cell>
          <cell r="F3499" t="str">
            <v>AM</v>
          </cell>
          <cell r="H3499">
            <v>324</v>
          </cell>
          <cell r="I3499">
            <v>24000</v>
          </cell>
        </row>
        <row r="3500">
          <cell r="A3500">
            <v>45597</v>
          </cell>
          <cell r="B3500" t="str">
            <v>Nadeem Rasheed</v>
          </cell>
          <cell r="E3500" t="str">
            <v>FOGH</v>
          </cell>
          <cell r="F3500" t="str">
            <v>AM</v>
          </cell>
          <cell r="H3500">
            <v>324</v>
          </cell>
          <cell r="I3500">
            <v>34000</v>
          </cell>
        </row>
        <row r="3501">
          <cell r="A3501">
            <v>45597</v>
          </cell>
          <cell r="B3501" t="str">
            <v>Ramy Abdel Fattah</v>
          </cell>
          <cell r="E3501" t="str">
            <v>FOGH</v>
          </cell>
          <cell r="F3501" t="str">
            <v>AM</v>
          </cell>
          <cell r="H3501">
            <v>279</v>
          </cell>
          <cell r="I3501">
            <v>24000</v>
          </cell>
        </row>
        <row r="3502">
          <cell r="A3502">
            <v>45597</v>
          </cell>
          <cell r="B3502" t="str">
            <v>Mohamed AlZarooni</v>
          </cell>
          <cell r="E3502" t="str">
            <v>HUNT</v>
          </cell>
          <cell r="F3502" t="str">
            <v>D</v>
          </cell>
          <cell r="H3502">
            <v>391</v>
          </cell>
          <cell r="I3502">
            <v>83737</v>
          </cell>
        </row>
        <row r="3503">
          <cell r="A3503">
            <v>45597</v>
          </cell>
          <cell r="B3503" t="str">
            <v>Adnan Bashir</v>
          </cell>
          <cell r="E3503" t="str">
            <v>HUNT</v>
          </cell>
          <cell r="F3503" t="str">
            <v>AM</v>
          </cell>
          <cell r="H3503">
            <v>98</v>
          </cell>
          <cell r="I3503">
            <v>20934</v>
          </cell>
        </row>
        <row r="3504">
          <cell r="A3504">
            <v>45597</v>
          </cell>
          <cell r="B3504" t="str">
            <v>Anastasia Maltseva</v>
          </cell>
          <cell r="E3504" t="str">
            <v>HUNT</v>
          </cell>
          <cell r="F3504" t="str">
            <v>AM</v>
          </cell>
          <cell r="H3504">
            <v>98</v>
          </cell>
          <cell r="I3504">
            <v>20934</v>
          </cell>
        </row>
        <row r="3505">
          <cell r="A3505">
            <v>45597</v>
          </cell>
          <cell r="B3505" t="str">
            <v>Favas Kurinhilayil</v>
          </cell>
          <cell r="E3505" t="str">
            <v>HUNT</v>
          </cell>
          <cell r="F3505" t="str">
            <v>AM</v>
          </cell>
          <cell r="H3505">
            <v>98</v>
          </cell>
          <cell r="I3505">
            <v>20934</v>
          </cell>
        </row>
        <row r="3506">
          <cell r="A3506">
            <v>45597</v>
          </cell>
          <cell r="B3506" t="str">
            <v>Othman Hassan</v>
          </cell>
          <cell r="E3506" t="str">
            <v>HUNT</v>
          </cell>
          <cell r="F3506" t="str">
            <v>AM</v>
          </cell>
          <cell r="H3506">
            <v>97</v>
          </cell>
          <cell r="I3506">
            <v>20935</v>
          </cell>
        </row>
        <row r="3507">
          <cell r="A3507">
            <v>45597</v>
          </cell>
          <cell r="B3507" t="str">
            <v>Hany Jawee</v>
          </cell>
          <cell r="E3507" t="str">
            <v>TRE</v>
          </cell>
          <cell r="F3507" t="str">
            <v>D</v>
          </cell>
          <cell r="H3507">
            <v>703</v>
          </cell>
          <cell r="I3507">
            <v>442071</v>
          </cell>
        </row>
        <row r="3508">
          <cell r="A3508">
            <v>45597</v>
          </cell>
          <cell r="B3508" t="str">
            <v>Ahmad Ozdamir</v>
          </cell>
          <cell r="E3508" t="str">
            <v>TRE</v>
          </cell>
          <cell r="F3508" t="str">
            <v>AM</v>
          </cell>
          <cell r="H3508">
            <v>75</v>
          </cell>
          <cell r="I3508">
            <v>41307</v>
          </cell>
        </row>
        <row r="3509">
          <cell r="A3509">
            <v>45597</v>
          </cell>
          <cell r="B3509" t="str">
            <v>Amjad Ilwan</v>
          </cell>
          <cell r="E3509" t="str">
            <v>TRE</v>
          </cell>
          <cell r="F3509" t="str">
            <v>AM</v>
          </cell>
          <cell r="H3509">
            <v>80</v>
          </cell>
          <cell r="I3509">
            <v>42707</v>
          </cell>
        </row>
        <row r="3510">
          <cell r="A3510">
            <v>45597</v>
          </cell>
          <cell r="B3510" t="str">
            <v>Ehab Hajou</v>
          </cell>
          <cell r="E3510" t="str">
            <v>TRE</v>
          </cell>
          <cell r="F3510" t="str">
            <v>AM</v>
          </cell>
          <cell r="H3510">
            <v>60</v>
          </cell>
          <cell r="I3510">
            <v>40707</v>
          </cell>
        </row>
        <row r="3511">
          <cell r="A3511">
            <v>45597</v>
          </cell>
          <cell r="B3511" t="str">
            <v>Fadi Saleh</v>
          </cell>
          <cell r="E3511" t="str">
            <v>TRE</v>
          </cell>
          <cell r="F3511" t="str">
            <v>AM</v>
          </cell>
          <cell r="H3511">
            <v>45</v>
          </cell>
          <cell r="I3511">
            <v>38000</v>
          </cell>
        </row>
        <row r="3512">
          <cell r="A3512">
            <v>45597</v>
          </cell>
          <cell r="B3512" t="str">
            <v>Majid Abdulla</v>
          </cell>
          <cell r="E3512" t="str">
            <v>TRE</v>
          </cell>
          <cell r="F3512" t="str">
            <v>AM</v>
          </cell>
          <cell r="H3512">
            <v>47</v>
          </cell>
          <cell r="I3512">
            <v>37500</v>
          </cell>
        </row>
        <row r="3513">
          <cell r="A3513">
            <v>45597</v>
          </cell>
          <cell r="B3513" t="str">
            <v>Mehfooz Mir</v>
          </cell>
          <cell r="E3513" t="str">
            <v>TRE</v>
          </cell>
          <cell r="F3513" t="str">
            <v>AM</v>
          </cell>
          <cell r="H3513">
            <v>78</v>
          </cell>
          <cell r="I3513">
            <v>44243</v>
          </cell>
        </row>
        <row r="3514">
          <cell r="A3514">
            <v>45597</v>
          </cell>
          <cell r="B3514" t="str">
            <v>Mostafa Mekawy</v>
          </cell>
          <cell r="E3514" t="str">
            <v>TRE</v>
          </cell>
          <cell r="F3514" t="str">
            <v>AM</v>
          </cell>
          <cell r="H3514">
            <v>80</v>
          </cell>
          <cell r="I3514">
            <v>44707</v>
          </cell>
        </row>
        <row r="3515">
          <cell r="A3515">
            <v>45597</v>
          </cell>
          <cell r="B3515" t="str">
            <v>Rijith Menon</v>
          </cell>
          <cell r="E3515" t="str">
            <v>TRE</v>
          </cell>
          <cell r="F3515" t="str">
            <v>AM</v>
          </cell>
          <cell r="H3515">
            <v>100</v>
          </cell>
          <cell r="I3515">
            <v>44500</v>
          </cell>
        </row>
        <row r="3516">
          <cell r="A3516">
            <v>45597</v>
          </cell>
          <cell r="B3516" t="str">
            <v>Suleiman Wanni</v>
          </cell>
          <cell r="E3516" t="str">
            <v>TRE</v>
          </cell>
          <cell r="F3516" t="str">
            <v>AM</v>
          </cell>
          <cell r="H3516">
            <v>75</v>
          </cell>
          <cell r="I3516">
            <v>65500</v>
          </cell>
        </row>
        <row r="3517">
          <cell r="A3517">
            <v>45597</v>
          </cell>
          <cell r="B3517" t="str">
            <v>Waseem Suhaf</v>
          </cell>
          <cell r="E3517" t="str">
            <v>TRE</v>
          </cell>
          <cell r="F3517" t="str">
            <v>AM</v>
          </cell>
          <cell r="H3517">
            <v>63</v>
          </cell>
          <cell r="I3517">
            <v>42900</v>
          </cell>
        </row>
        <row r="3518">
          <cell r="A3518">
            <v>45597</v>
          </cell>
          <cell r="B3518" t="str">
            <v>Muhammad Shahzad Hasan</v>
          </cell>
          <cell r="E3518" t="str">
            <v>TRM</v>
          </cell>
          <cell r="F3518" t="str">
            <v>D</v>
          </cell>
          <cell r="H3518">
            <v>1557</v>
          </cell>
          <cell r="I3518">
            <v>213962</v>
          </cell>
        </row>
        <row r="3519">
          <cell r="A3519">
            <v>45597</v>
          </cell>
          <cell r="B3519" t="str">
            <v>Eslam Hassan</v>
          </cell>
          <cell r="E3519" t="str">
            <v>TRM</v>
          </cell>
          <cell r="F3519" t="str">
            <v>AM</v>
          </cell>
          <cell r="H3519">
            <v>170</v>
          </cell>
          <cell r="I3519">
            <v>28500</v>
          </cell>
        </row>
        <row r="3520">
          <cell r="A3520">
            <v>45597</v>
          </cell>
          <cell r="B3520" t="str">
            <v>Khaled Abdelaziz</v>
          </cell>
          <cell r="E3520" t="str">
            <v>TRM</v>
          </cell>
          <cell r="F3520" t="str">
            <v>AM</v>
          </cell>
          <cell r="H3520">
            <v>165</v>
          </cell>
          <cell r="I3520">
            <v>28500</v>
          </cell>
        </row>
        <row r="3521">
          <cell r="A3521">
            <v>45597</v>
          </cell>
          <cell r="B3521" t="str">
            <v>Mohamad Labban</v>
          </cell>
          <cell r="E3521" t="str">
            <v>TRM</v>
          </cell>
          <cell r="F3521" t="str">
            <v>AM</v>
          </cell>
          <cell r="H3521">
            <v>120</v>
          </cell>
          <cell r="I3521">
            <v>38000</v>
          </cell>
        </row>
        <row r="3522">
          <cell r="A3522">
            <v>45597</v>
          </cell>
          <cell r="B3522" t="str">
            <v>Mohamed Kishk</v>
          </cell>
          <cell r="E3522" t="str">
            <v>TRM</v>
          </cell>
          <cell r="F3522" t="str">
            <v>AM</v>
          </cell>
          <cell r="H3522">
            <v>657</v>
          </cell>
          <cell r="I3522">
            <v>20000</v>
          </cell>
        </row>
        <row r="3523">
          <cell r="A3523">
            <v>45597</v>
          </cell>
          <cell r="B3523" t="str">
            <v>Mushahid Hussain Syed</v>
          </cell>
          <cell r="E3523" t="str">
            <v>TRM</v>
          </cell>
          <cell r="F3523" t="str">
            <v>AM</v>
          </cell>
          <cell r="H3523">
            <v>115</v>
          </cell>
          <cell r="I3523">
            <v>41962</v>
          </cell>
        </row>
        <row r="3524">
          <cell r="A3524">
            <v>45597</v>
          </cell>
          <cell r="B3524" t="str">
            <v>Peter Sedrak</v>
          </cell>
          <cell r="E3524" t="str">
            <v>TRM</v>
          </cell>
          <cell r="F3524" t="str">
            <v>AM</v>
          </cell>
          <cell r="H3524">
            <v>165</v>
          </cell>
          <cell r="I3524">
            <v>28500</v>
          </cell>
        </row>
        <row r="3525">
          <cell r="A3525">
            <v>45597</v>
          </cell>
          <cell r="B3525" t="str">
            <v>Shabbir Lacewala</v>
          </cell>
          <cell r="E3525" t="str">
            <v>TRM</v>
          </cell>
          <cell r="F3525" t="str">
            <v>AM</v>
          </cell>
          <cell r="H3525">
            <v>165</v>
          </cell>
          <cell r="I3525">
            <v>28500</v>
          </cell>
        </row>
        <row r="3526">
          <cell r="A3526">
            <v>45597</v>
          </cell>
          <cell r="B3526" t="str">
            <v>Abdulghaffar Alkhaja</v>
          </cell>
          <cell r="E3526" t="str">
            <v>TRM</v>
          </cell>
          <cell r="F3526" t="str">
            <v>AM</v>
          </cell>
          <cell r="H3526">
            <v>50</v>
          </cell>
          <cell r="I3526">
            <v>5000</v>
          </cell>
        </row>
        <row r="3527">
          <cell r="A3527">
            <v>45627</v>
          </cell>
          <cell r="B3527" t="str">
            <v>Khalid Karmastaji</v>
          </cell>
          <cell r="E3527" t="str">
            <v>AUH</v>
          </cell>
          <cell r="F3527" t="str">
            <v>D</v>
          </cell>
          <cell r="H3527">
            <v>245</v>
          </cell>
          <cell r="I3527">
            <v>556960</v>
          </cell>
        </row>
        <row r="3528">
          <cell r="A3528">
            <v>45627</v>
          </cell>
          <cell r="B3528" t="str">
            <v>Ammar Alqudsi</v>
          </cell>
          <cell r="E3528" t="str">
            <v>AUH</v>
          </cell>
          <cell r="F3528" t="str">
            <v>AM</v>
          </cell>
          <cell r="H3528">
            <v>65</v>
          </cell>
          <cell r="I3528">
            <v>45000</v>
          </cell>
        </row>
        <row r="3529">
          <cell r="A3529">
            <v>45627</v>
          </cell>
          <cell r="B3529" t="str">
            <v>Muhammad Nauman Khan</v>
          </cell>
          <cell r="E3529" t="str">
            <v>AUH</v>
          </cell>
          <cell r="F3529" t="str">
            <v>AM</v>
          </cell>
          <cell r="H3529">
            <v>60</v>
          </cell>
          <cell r="I3529">
            <v>100000</v>
          </cell>
        </row>
        <row r="3530">
          <cell r="A3530">
            <v>45627</v>
          </cell>
          <cell r="B3530" t="str">
            <v>Omar AlHammadi</v>
          </cell>
          <cell r="E3530" t="str">
            <v>AUH</v>
          </cell>
          <cell r="F3530" t="str">
            <v>AM</v>
          </cell>
          <cell r="H3530">
            <v>55</v>
          </cell>
          <cell r="I3530">
            <v>45000</v>
          </cell>
        </row>
        <row r="3531">
          <cell r="A3531">
            <v>45627</v>
          </cell>
          <cell r="B3531" t="str">
            <v>Tarek Solh</v>
          </cell>
          <cell r="E3531" t="str">
            <v>AUH</v>
          </cell>
          <cell r="F3531" t="str">
            <v>AM</v>
          </cell>
          <cell r="H3531">
            <v>65</v>
          </cell>
          <cell r="I3531">
            <v>366960</v>
          </cell>
        </row>
        <row r="3532">
          <cell r="A3532">
            <v>45627</v>
          </cell>
          <cell r="B3532" t="str">
            <v>Mohamad Amer Sibai</v>
          </cell>
          <cell r="E3532" t="str">
            <v>DXB</v>
          </cell>
          <cell r="F3532" t="str">
            <v>D</v>
          </cell>
          <cell r="H3532">
            <v>902</v>
          </cell>
          <cell r="I3532">
            <v>239746</v>
          </cell>
        </row>
        <row r="3533">
          <cell r="A3533">
            <v>45627</v>
          </cell>
          <cell r="B3533" t="str">
            <v>Ali Alzarooni</v>
          </cell>
          <cell r="E3533" t="str">
            <v>DXB</v>
          </cell>
          <cell r="F3533" t="str">
            <v>AM</v>
          </cell>
          <cell r="H3533">
            <v>50</v>
          </cell>
          <cell r="I3533">
            <v>52000</v>
          </cell>
        </row>
        <row r="3534">
          <cell r="A3534">
            <v>45627</v>
          </cell>
          <cell r="B3534" t="str">
            <v>Humaid Al Ali</v>
          </cell>
          <cell r="E3534" t="str">
            <v>DXB</v>
          </cell>
          <cell r="F3534" t="str">
            <v>AM</v>
          </cell>
          <cell r="H3534">
            <v>300</v>
          </cell>
          <cell r="I3534">
            <v>20000</v>
          </cell>
        </row>
        <row r="3535">
          <cell r="A3535">
            <v>45627</v>
          </cell>
          <cell r="B3535" t="str">
            <v>Mohamed Mady</v>
          </cell>
          <cell r="E3535" t="str">
            <v>DXB</v>
          </cell>
          <cell r="F3535" t="str">
            <v>AM</v>
          </cell>
          <cell r="H3535">
            <v>50</v>
          </cell>
          <cell r="I3535">
            <v>54000</v>
          </cell>
        </row>
        <row r="3536">
          <cell r="A3536">
            <v>45627</v>
          </cell>
          <cell r="B3536" t="str">
            <v>Ramzi Gholmieh</v>
          </cell>
          <cell r="E3536" t="str">
            <v>DXB</v>
          </cell>
          <cell r="F3536" t="str">
            <v>AM</v>
          </cell>
          <cell r="H3536">
            <v>62</v>
          </cell>
          <cell r="I3536">
            <v>57000</v>
          </cell>
        </row>
        <row r="3537">
          <cell r="A3537">
            <v>45627</v>
          </cell>
          <cell r="B3537" t="str">
            <v>Talal Ahmed Ali Alsharhan</v>
          </cell>
          <cell r="E3537" t="str">
            <v>DXB</v>
          </cell>
          <cell r="F3537" t="str">
            <v>AM</v>
          </cell>
          <cell r="H3537">
            <v>440</v>
          </cell>
          <cell r="I3537">
            <v>56746</v>
          </cell>
        </row>
        <row r="3538">
          <cell r="A3538">
            <v>45627</v>
          </cell>
          <cell r="B3538" t="str">
            <v>Khaled Al Awadi</v>
          </cell>
          <cell r="E3538" t="str">
            <v>F-NE</v>
          </cell>
          <cell r="F3538" t="str">
            <v>D</v>
          </cell>
          <cell r="H3538">
            <v>5754</v>
          </cell>
          <cell r="I3538">
            <v>57797</v>
          </cell>
        </row>
        <row r="3539">
          <cell r="A3539">
            <v>45627</v>
          </cell>
          <cell r="B3539" t="str">
            <v>Bader Al Shehhi</v>
          </cell>
          <cell r="E3539" t="str">
            <v>F-NE</v>
          </cell>
          <cell r="F3539" t="str">
            <v>AM</v>
          </cell>
          <cell r="H3539">
            <v>650</v>
          </cell>
          <cell r="I3539">
            <v>4797</v>
          </cell>
        </row>
        <row r="3540">
          <cell r="A3540">
            <v>45627</v>
          </cell>
          <cell r="B3540" t="str">
            <v>Bashar Al Adilee</v>
          </cell>
          <cell r="E3540" t="str">
            <v>F-NE</v>
          </cell>
          <cell r="F3540" t="str">
            <v>AM</v>
          </cell>
          <cell r="H3540">
            <v>1100</v>
          </cell>
          <cell r="I3540">
            <v>15000</v>
          </cell>
        </row>
        <row r="3541">
          <cell r="A3541">
            <v>45627</v>
          </cell>
          <cell r="B3541" t="str">
            <v>Khalid Mohammed</v>
          </cell>
          <cell r="E3541" t="str">
            <v>F-NE</v>
          </cell>
          <cell r="F3541" t="str">
            <v>AM</v>
          </cell>
          <cell r="H3541">
            <v>1100</v>
          </cell>
          <cell r="I3541">
            <v>15000</v>
          </cell>
        </row>
        <row r="3542">
          <cell r="A3542">
            <v>45627</v>
          </cell>
          <cell r="B3542" t="str">
            <v>Majd Nairoukh</v>
          </cell>
          <cell r="E3542" t="str">
            <v>F-NE</v>
          </cell>
          <cell r="F3542" t="str">
            <v>AM</v>
          </cell>
          <cell r="H3542">
            <v>1100</v>
          </cell>
          <cell r="I3542">
            <v>7000</v>
          </cell>
        </row>
        <row r="3543">
          <cell r="A3543">
            <v>45627</v>
          </cell>
          <cell r="B3543" t="str">
            <v>Nader AlMustafa</v>
          </cell>
          <cell r="E3543" t="str">
            <v>F-NE</v>
          </cell>
          <cell r="F3543" t="str">
            <v>AM</v>
          </cell>
          <cell r="H3543">
            <v>1100</v>
          </cell>
          <cell r="I3543">
            <v>9000</v>
          </cell>
        </row>
        <row r="3544">
          <cell r="A3544">
            <v>45627</v>
          </cell>
          <cell r="B3544" t="str">
            <v>Yousef Al Baloushi</v>
          </cell>
          <cell r="E3544" t="str">
            <v>F-NE</v>
          </cell>
          <cell r="F3544" t="str">
            <v>AM</v>
          </cell>
          <cell r="H3544">
            <v>704</v>
          </cell>
          <cell r="I3544">
            <v>7000</v>
          </cell>
        </row>
        <row r="3545">
          <cell r="A3545">
            <v>45627</v>
          </cell>
          <cell r="B3545" t="str">
            <v>Mazen Adem</v>
          </cell>
          <cell r="E3545" t="str">
            <v>FOGH</v>
          </cell>
          <cell r="F3545" t="str">
            <v>D</v>
          </cell>
          <cell r="H3545">
            <v>1856</v>
          </cell>
          <cell r="I3545">
            <v>443578</v>
          </cell>
        </row>
        <row r="3546">
          <cell r="A3546">
            <v>45627</v>
          </cell>
          <cell r="B3546" t="str">
            <v>Abdel Azim Sharabati</v>
          </cell>
          <cell r="E3546" t="str">
            <v>FOGH</v>
          </cell>
          <cell r="F3546" t="str">
            <v>AM</v>
          </cell>
          <cell r="H3546">
            <v>80</v>
          </cell>
          <cell r="I3546">
            <v>99000</v>
          </cell>
        </row>
        <row r="3547">
          <cell r="A3547">
            <v>45627</v>
          </cell>
          <cell r="B3547" t="str">
            <v>Abraham Cherian</v>
          </cell>
          <cell r="E3547" t="str">
            <v>FOGH</v>
          </cell>
          <cell r="F3547" t="str">
            <v>AM</v>
          </cell>
          <cell r="H3547">
            <v>370</v>
          </cell>
          <cell r="I3547">
            <v>43000</v>
          </cell>
        </row>
        <row r="3548">
          <cell r="A3548">
            <v>45627</v>
          </cell>
          <cell r="B3548" t="str">
            <v>Arjun Subaraman</v>
          </cell>
          <cell r="E3548" t="str">
            <v>FOGH</v>
          </cell>
          <cell r="F3548" t="str">
            <v>AM</v>
          </cell>
          <cell r="H3548">
            <v>380</v>
          </cell>
          <cell r="I3548">
            <v>19000</v>
          </cell>
        </row>
        <row r="3549">
          <cell r="A3549">
            <v>45627</v>
          </cell>
          <cell r="B3549" t="str">
            <v>Ghassan Fouany</v>
          </cell>
          <cell r="E3549" t="str">
            <v>FOGH</v>
          </cell>
          <cell r="F3549" t="str">
            <v>AM</v>
          </cell>
          <cell r="H3549">
            <v>399</v>
          </cell>
          <cell r="I3549">
            <v>20000</v>
          </cell>
        </row>
        <row r="3550">
          <cell r="A3550">
            <v>45627</v>
          </cell>
          <cell r="B3550" t="str">
            <v>Inayat Fazili</v>
          </cell>
          <cell r="E3550" t="str">
            <v>FOGH</v>
          </cell>
          <cell r="F3550" t="str">
            <v>AM</v>
          </cell>
          <cell r="H3550">
            <v>130</v>
          </cell>
          <cell r="I3550">
            <v>20578</v>
          </cell>
        </row>
        <row r="3551">
          <cell r="A3551">
            <v>45627</v>
          </cell>
          <cell r="B3551" t="str">
            <v>Mohamed Mostafa</v>
          </cell>
          <cell r="E3551" t="str">
            <v>FOGH</v>
          </cell>
          <cell r="F3551" t="str">
            <v>AM</v>
          </cell>
          <cell r="H3551">
            <v>60</v>
          </cell>
          <cell r="I3551">
            <v>82000</v>
          </cell>
        </row>
        <row r="3552">
          <cell r="A3552">
            <v>45627</v>
          </cell>
          <cell r="B3552" t="str">
            <v>Mohd Sheikh Salem</v>
          </cell>
          <cell r="E3552" t="str">
            <v>FOGH</v>
          </cell>
          <cell r="F3552" t="str">
            <v>AM</v>
          </cell>
          <cell r="H3552">
            <v>207</v>
          </cell>
          <cell r="I3552">
            <v>49000</v>
          </cell>
        </row>
        <row r="3553">
          <cell r="A3553">
            <v>45627</v>
          </cell>
          <cell r="B3553" t="str">
            <v>Nadeem Rasheed</v>
          </cell>
          <cell r="E3553" t="str">
            <v>FOGH</v>
          </cell>
          <cell r="F3553" t="str">
            <v>AM</v>
          </cell>
          <cell r="H3553">
            <v>170</v>
          </cell>
          <cell r="I3553">
            <v>24000</v>
          </cell>
        </row>
        <row r="3554">
          <cell r="A3554">
            <v>45627</v>
          </cell>
          <cell r="B3554" t="str">
            <v>Ramy Abdel Fattah</v>
          </cell>
          <cell r="E3554" t="str">
            <v>FOGH</v>
          </cell>
          <cell r="F3554" t="str">
            <v>AM</v>
          </cell>
          <cell r="H3554">
            <v>60</v>
          </cell>
          <cell r="I3554">
            <v>87000</v>
          </cell>
        </row>
        <row r="3555">
          <cell r="A3555">
            <v>45627</v>
          </cell>
          <cell r="B3555" t="str">
            <v>Mohamed AlZarooni</v>
          </cell>
          <cell r="E3555" t="str">
            <v>HUNT</v>
          </cell>
          <cell r="F3555" t="str">
            <v>D</v>
          </cell>
          <cell r="H3555">
            <v>359</v>
          </cell>
          <cell r="I3555">
            <v>93828</v>
          </cell>
        </row>
        <row r="3556">
          <cell r="A3556">
            <v>45627</v>
          </cell>
          <cell r="B3556" t="str">
            <v>Adnan Bashir</v>
          </cell>
          <cell r="E3556" t="str">
            <v>HUNT</v>
          </cell>
          <cell r="F3556" t="str">
            <v>AM</v>
          </cell>
          <cell r="H3556">
            <v>90</v>
          </cell>
          <cell r="I3556">
            <v>22609</v>
          </cell>
        </row>
        <row r="3557">
          <cell r="A3557">
            <v>45627</v>
          </cell>
          <cell r="B3557" t="str">
            <v>Anastasia Maltseva</v>
          </cell>
          <cell r="E3557" t="str">
            <v>HUNT</v>
          </cell>
          <cell r="F3557" t="str">
            <v>AM</v>
          </cell>
          <cell r="H3557">
            <v>89</v>
          </cell>
          <cell r="I3557">
            <v>26001</v>
          </cell>
        </row>
        <row r="3558">
          <cell r="A3558">
            <v>45627</v>
          </cell>
          <cell r="B3558" t="str">
            <v>Favas Kurinhilayil</v>
          </cell>
          <cell r="E3558" t="str">
            <v>HUNT</v>
          </cell>
          <cell r="F3558" t="str">
            <v>AM</v>
          </cell>
          <cell r="H3558">
            <v>90</v>
          </cell>
          <cell r="I3558">
            <v>22609</v>
          </cell>
        </row>
        <row r="3559">
          <cell r="A3559">
            <v>45627</v>
          </cell>
          <cell r="B3559" t="str">
            <v>Othman Hassan</v>
          </cell>
          <cell r="E3559" t="str">
            <v>HUNT</v>
          </cell>
          <cell r="F3559" t="str">
            <v>AM</v>
          </cell>
          <cell r="H3559">
            <v>90</v>
          </cell>
          <cell r="I3559">
            <v>22609</v>
          </cell>
        </row>
        <row r="3560">
          <cell r="A3560">
            <v>45627</v>
          </cell>
          <cell r="B3560" t="str">
            <v>Hany Jawee</v>
          </cell>
          <cell r="E3560" t="str">
            <v>TRE</v>
          </cell>
          <cell r="F3560" t="str">
            <v>D</v>
          </cell>
          <cell r="H3560">
            <v>746</v>
          </cell>
          <cell r="I3560">
            <v>395345</v>
          </cell>
        </row>
        <row r="3561">
          <cell r="A3561">
            <v>45627</v>
          </cell>
          <cell r="B3561" t="str">
            <v>Ahmad Ozdamir</v>
          </cell>
          <cell r="E3561" t="str">
            <v>TRE</v>
          </cell>
          <cell r="F3561" t="str">
            <v>AM</v>
          </cell>
          <cell r="H3561">
            <v>78</v>
          </cell>
          <cell r="I3561">
            <v>24545</v>
          </cell>
        </row>
        <row r="3562">
          <cell r="A3562">
            <v>45627</v>
          </cell>
          <cell r="B3562" t="str">
            <v>Amjad Ilwan</v>
          </cell>
          <cell r="E3562" t="str">
            <v>TRE</v>
          </cell>
          <cell r="F3562" t="str">
            <v>AM</v>
          </cell>
          <cell r="H3562">
            <v>85</v>
          </cell>
          <cell r="I3562">
            <v>34000</v>
          </cell>
        </row>
        <row r="3563">
          <cell r="A3563">
            <v>45627</v>
          </cell>
          <cell r="B3563" t="str">
            <v>Ehab Hajou</v>
          </cell>
          <cell r="E3563" t="str">
            <v>TRE</v>
          </cell>
          <cell r="F3563" t="str">
            <v>AM</v>
          </cell>
          <cell r="H3563">
            <v>71</v>
          </cell>
          <cell r="I3563">
            <v>39900</v>
          </cell>
        </row>
        <row r="3564">
          <cell r="A3564">
            <v>45627</v>
          </cell>
          <cell r="B3564" t="str">
            <v>Fadi Saleh</v>
          </cell>
          <cell r="E3564" t="str">
            <v>TRE</v>
          </cell>
          <cell r="F3564" t="str">
            <v>AM</v>
          </cell>
          <cell r="H3564">
            <v>63</v>
          </cell>
          <cell r="I3564">
            <v>28900</v>
          </cell>
        </row>
        <row r="3565">
          <cell r="A3565">
            <v>45627</v>
          </cell>
          <cell r="B3565" t="str">
            <v>Majid Abdulla</v>
          </cell>
          <cell r="E3565" t="str">
            <v>TRE</v>
          </cell>
          <cell r="F3565" t="str">
            <v>AM</v>
          </cell>
          <cell r="H3565">
            <v>65</v>
          </cell>
          <cell r="I3565">
            <v>33600</v>
          </cell>
        </row>
        <row r="3566">
          <cell r="A3566">
            <v>45627</v>
          </cell>
          <cell r="B3566" t="str">
            <v>Mehfooz Mir</v>
          </cell>
          <cell r="E3566" t="str">
            <v>TRE</v>
          </cell>
          <cell r="F3566" t="str">
            <v>AM</v>
          </cell>
          <cell r="H3566">
            <v>74</v>
          </cell>
          <cell r="I3566">
            <v>29900</v>
          </cell>
        </row>
        <row r="3567">
          <cell r="A3567">
            <v>45627</v>
          </cell>
          <cell r="B3567" t="str">
            <v>Mostafa Mekawy</v>
          </cell>
          <cell r="E3567" t="str">
            <v>TRE</v>
          </cell>
          <cell r="F3567" t="str">
            <v>AM</v>
          </cell>
          <cell r="H3567">
            <v>100</v>
          </cell>
          <cell r="I3567">
            <v>35000</v>
          </cell>
        </row>
        <row r="3568">
          <cell r="A3568">
            <v>45627</v>
          </cell>
          <cell r="B3568" t="str">
            <v>Rijith Menon</v>
          </cell>
          <cell r="E3568" t="str">
            <v>TRE</v>
          </cell>
          <cell r="F3568" t="str">
            <v>AM</v>
          </cell>
          <cell r="H3568">
            <v>110</v>
          </cell>
          <cell r="I3568">
            <v>32500</v>
          </cell>
        </row>
        <row r="3569">
          <cell r="A3569">
            <v>45627</v>
          </cell>
          <cell r="B3569" t="str">
            <v>Suleiman Wanni</v>
          </cell>
          <cell r="E3569" t="str">
            <v>TRE</v>
          </cell>
          <cell r="F3569" t="str">
            <v>AM</v>
          </cell>
          <cell r="H3569">
            <v>40</v>
          </cell>
          <cell r="I3569">
            <v>62000</v>
          </cell>
        </row>
        <row r="3570">
          <cell r="A3570">
            <v>45627</v>
          </cell>
          <cell r="B3570" t="str">
            <v>Waseem Suhaf</v>
          </cell>
          <cell r="E3570" t="str">
            <v>TRE</v>
          </cell>
          <cell r="F3570" t="str">
            <v>AM</v>
          </cell>
          <cell r="H3570">
            <v>60</v>
          </cell>
          <cell r="I3570">
            <v>75000</v>
          </cell>
        </row>
        <row r="3571">
          <cell r="A3571">
            <v>45627</v>
          </cell>
          <cell r="B3571" t="str">
            <v>Muhammad Shahzad Hasan</v>
          </cell>
          <cell r="E3571" t="str">
            <v>TRM</v>
          </cell>
          <cell r="F3571" t="str">
            <v>D</v>
          </cell>
          <cell r="H3571">
            <v>1438</v>
          </cell>
          <cell r="I3571">
            <v>239746</v>
          </cell>
        </row>
        <row r="3572">
          <cell r="A3572">
            <v>45627</v>
          </cell>
          <cell r="B3572" t="str">
            <v>Eslam Hassan</v>
          </cell>
          <cell r="E3572" t="str">
            <v>TRM</v>
          </cell>
          <cell r="F3572" t="str">
            <v>AM</v>
          </cell>
          <cell r="H3572">
            <v>190</v>
          </cell>
          <cell r="I3572">
            <v>32000</v>
          </cell>
        </row>
        <row r="3573">
          <cell r="A3573">
            <v>45627</v>
          </cell>
          <cell r="B3573" t="str">
            <v>Khaled Abdelaziz</v>
          </cell>
          <cell r="E3573" t="str">
            <v>TRM</v>
          </cell>
          <cell r="F3573" t="str">
            <v>AM</v>
          </cell>
          <cell r="H3573">
            <v>140</v>
          </cell>
          <cell r="I3573">
            <v>32000</v>
          </cell>
        </row>
        <row r="3574">
          <cell r="A3574">
            <v>45627</v>
          </cell>
          <cell r="B3574" t="str">
            <v>Mohamad Labban</v>
          </cell>
          <cell r="E3574" t="str">
            <v>TRM</v>
          </cell>
          <cell r="F3574" t="str">
            <v>AM</v>
          </cell>
          <cell r="H3574">
            <v>60</v>
          </cell>
          <cell r="I3574">
            <v>46500</v>
          </cell>
        </row>
        <row r="3575">
          <cell r="A3575">
            <v>45627</v>
          </cell>
          <cell r="B3575" t="str">
            <v>Mohamed Kishk</v>
          </cell>
          <cell r="E3575" t="str">
            <v>TRM</v>
          </cell>
          <cell r="F3575" t="str">
            <v>AM</v>
          </cell>
          <cell r="H3575">
            <v>653</v>
          </cell>
          <cell r="I3575">
            <v>26000</v>
          </cell>
        </row>
        <row r="3576">
          <cell r="A3576">
            <v>45627</v>
          </cell>
          <cell r="B3576" t="str">
            <v>Mushahid Hussain Syed</v>
          </cell>
          <cell r="E3576" t="str">
            <v>TRM</v>
          </cell>
          <cell r="F3576" t="str">
            <v>AM</v>
          </cell>
          <cell r="H3576">
            <v>140</v>
          </cell>
          <cell r="I3576">
            <v>32000</v>
          </cell>
        </row>
        <row r="3577">
          <cell r="A3577">
            <v>45627</v>
          </cell>
          <cell r="B3577" t="str">
            <v>Peter Sedrak</v>
          </cell>
          <cell r="E3577" t="str">
            <v>TRM</v>
          </cell>
          <cell r="F3577" t="str">
            <v>AM</v>
          </cell>
          <cell r="H3577">
            <v>120</v>
          </cell>
          <cell r="I3577">
            <v>36500</v>
          </cell>
        </row>
        <row r="3578">
          <cell r="A3578">
            <v>45627</v>
          </cell>
          <cell r="B3578" t="str">
            <v>Shabbir Lacewala</v>
          </cell>
          <cell r="E3578" t="str">
            <v>TRM</v>
          </cell>
          <cell r="F3578" t="str">
            <v>AM</v>
          </cell>
          <cell r="H3578">
            <v>135</v>
          </cell>
          <cell r="I3578">
            <v>34746</v>
          </cell>
        </row>
        <row r="3579">
          <cell r="A3579">
            <v>45627</v>
          </cell>
          <cell r="B3579" t="str">
            <v>Abdulghaffar Alkhaja</v>
          </cell>
          <cell r="E3579" t="str">
            <v>TRM</v>
          </cell>
          <cell r="F3579" t="str">
            <v>AM</v>
          </cell>
          <cell r="H3579">
            <v>50</v>
          </cell>
          <cell r="I3579">
            <v>5000</v>
          </cell>
        </row>
        <row r="3580">
          <cell r="A3580" t="str">
            <v>Q1'2025</v>
          </cell>
          <cell r="B3580" t="str">
            <v>Ali Alzarooni</v>
          </cell>
          <cell r="E3580" t="str">
            <v>DXB</v>
          </cell>
          <cell r="F3580" t="str">
            <v>AM</v>
          </cell>
          <cell r="H3580">
            <v>200</v>
          </cell>
          <cell r="I3580">
            <v>50000</v>
          </cell>
          <cell r="J3580">
            <v>2006320</v>
          </cell>
          <cell r="K3580">
            <v>3500</v>
          </cell>
        </row>
        <row r="3581">
          <cell r="A3581" t="str">
            <v>Q1'2025</v>
          </cell>
          <cell r="B3581" t="str">
            <v>Humaid Al Ali</v>
          </cell>
          <cell r="E3581" t="str">
            <v>DXB</v>
          </cell>
          <cell r="F3581" t="str">
            <v>AM</v>
          </cell>
          <cell r="H3581">
            <v>912</v>
          </cell>
          <cell r="I3581">
            <v>100000</v>
          </cell>
          <cell r="J3581">
            <v>22502253</v>
          </cell>
          <cell r="K3581">
            <v>5816</v>
          </cell>
        </row>
        <row r="3582">
          <cell r="A3582" t="str">
            <v>Q1'2025</v>
          </cell>
          <cell r="B3582" t="str">
            <v>Mohamed Mady</v>
          </cell>
          <cell r="E3582" t="str">
            <v>DXB</v>
          </cell>
          <cell r="F3582" t="str">
            <v>AM</v>
          </cell>
          <cell r="H3582">
            <v>200</v>
          </cell>
          <cell r="I3582">
            <v>50000</v>
          </cell>
          <cell r="J3582">
            <v>5334442</v>
          </cell>
          <cell r="K3582">
            <v>3500</v>
          </cell>
        </row>
        <row r="3583">
          <cell r="A3583" t="str">
            <v>Q1'2025</v>
          </cell>
          <cell r="B3583" t="str">
            <v>Maen Okour</v>
          </cell>
          <cell r="E3583" t="str">
            <v>DXB</v>
          </cell>
          <cell r="F3583" t="str">
            <v>AM</v>
          </cell>
          <cell r="H3583">
            <v>0</v>
          </cell>
          <cell r="I3583">
            <v>0</v>
          </cell>
          <cell r="J3583">
            <v>23206341</v>
          </cell>
          <cell r="K3583">
            <v>0</v>
          </cell>
        </row>
        <row r="3584">
          <cell r="A3584" t="str">
            <v>Q1'2025</v>
          </cell>
          <cell r="B3584" t="str">
            <v>Muhannad Allow</v>
          </cell>
          <cell r="E3584" t="str">
            <v>DXB</v>
          </cell>
          <cell r="F3584" t="str">
            <v>AM</v>
          </cell>
          <cell r="H3584">
            <v>0</v>
          </cell>
          <cell r="I3584">
            <v>0</v>
          </cell>
          <cell r="J3584">
            <v>11893000</v>
          </cell>
          <cell r="K3584">
            <v>0</v>
          </cell>
        </row>
        <row r="3585">
          <cell r="A3585" t="str">
            <v>Q1'2025</v>
          </cell>
          <cell r="B3585" t="str">
            <v>Ramzi Gholmieh</v>
          </cell>
          <cell r="E3585" t="str">
            <v>DXB</v>
          </cell>
          <cell r="F3585" t="str">
            <v>AM</v>
          </cell>
          <cell r="H3585">
            <v>300</v>
          </cell>
          <cell r="I3585">
            <v>100000</v>
          </cell>
          <cell r="J3585">
            <v>14233642</v>
          </cell>
          <cell r="K3585">
            <v>5817</v>
          </cell>
        </row>
        <row r="3586">
          <cell r="A3586" t="str">
            <v>Q1'2025</v>
          </cell>
          <cell r="B3586" t="str">
            <v>Talal Ahmed Ali Alsharhan</v>
          </cell>
          <cell r="E3586" t="str">
            <v>DXB</v>
          </cell>
          <cell r="F3586" t="str">
            <v>AM</v>
          </cell>
          <cell r="H3586">
            <v>2300</v>
          </cell>
          <cell r="I3586">
            <v>100000</v>
          </cell>
          <cell r="J3586">
            <v>14864002</v>
          </cell>
          <cell r="K3586">
            <v>5817</v>
          </cell>
        </row>
        <row r="3587">
          <cell r="A3587" t="str">
            <v>Q1'2025</v>
          </cell>
          <cell r="B3587" t="str">
            <v>Mohamad Amer Sibai</v>
          </cell>
          <cell r="E3587" t="str">
            <v>DXB</v>
          </cell>
          <cell r="F3587" t="str">
            <v>D</v>
          </cell>
          <cell r="H3587">
            <v>3912.0000000000009</v>
          </cell>
          <cell r="I3587">
            <v>400000</v>
          </cell>
          <cell r="J3587">
            <v>94040000</v>
          </cell>
          <cell r="K3587">
            <v>24450</v>
          </cell>
        </row>
        <row r="3588">
          <cell r="A3588" t="str">
            <v>Q1'2025</v>
          </cell>
          <cell r="B3588" t="str">
            <v>Bader Al Shehhi</v>
          </cell>
          <cell r="E3588" t="str">
            <v>F-NE</v>
          </cell>
          <cell r="F3588" t="str">
            <v>AM</v>
          </cell>
          <cell r="H3588">
            <v>750</v>
          </cell>
          <cell r="I3588">
            <v>18500</v>
          </cell>
          <cell r="J3588">
            <v>6216904</v>
          </cell>
          <cell r="K3588">
            <v>669</v>
          </cell>
        </row>
        <row r="3589">
          <cell r="A3589" t="str">
            <v>Q1'2025</v>
          </cell>
          <cell r="B3589" t="str">
            <v>Bashar Al Adilee</v>
          </cell>
          <cell r="E3589" t="str">
            <v>F-NE</v>
          </cell>
          <cell r="F3589" t="str">
            <v>AM</v>
          </cell>
          <cell r="H3589">
            <v>750</v>
          </cell>
          <cell r="I3589">
            <v>50000</v>
          </cell>
          <cell r="J3589">
            <v>13999501</v>
          </cell>
          <cell r="K3589">
            <v>10776</v>
          </cell>
        </row>
        <row r="3590">
          <cell r="A3590" t="str">
            <v>Q1'2025</v>
          </cell>
          <cell r="B3590" t="str">
            <v>Khalid Mohammed</v>
          </cell>
          <cell r="E3590" t="str">
            <v>F-NE</v>
          </cell>
          <cell r="F3590" t="str">
            <v>AM</v>
          </cell>
          <cell r="H3590">
            <v>1800</v>
          </cell>
          <cell r="I3590">
            <v>60000</v>
          </cell>
          <cell r="J3590">
            <v>2207872</v>
          </cell>
          <cell r="K3590">
            <v>3815</v>
          </cell>
        </row>
        <row r="3591">
          <cell r="A3591" t="str">
            <v>Q1'2025</v>
          </cell>
          <cell r="B3591" t="str">
            <v>Majd Nairoukh</v>
          </cell>
          <cell r="E3591" t="str">
            <v>F-NE</v>
          </cell>
          <cell r="F3591" t="str">
            <v>AM</v>
          </cell>
          <cell r="H3591">
            <v>900</v>
          </cell>
          <cell r="I3591">
            <v>25000</v>
          </cell>
          <cell r="J3591">
            <v>16412259</v>
          </cell>
          <cell r="K3591">
            <v>1539</v>
          </cell>
        </row>
        <row r="3592">
          <cell r="A3592" t="str">
            <v>Q1'2025</v>
          </cell>
          <cell r="B3592" t="str">
            <v>Nader AlMustafa</v>
          </cell>
          <cell r="E3592" t="str">
            <v>F-NE</v>
          </cell>
          <cell r="F3592" t="str">
            <v>AM</v>
          </cell>
          <cell r="H3592">
            <v>3300</v>
          </cell>
          <cell r="I3592">
            <v>28000</v>
          </cell>
          <cell r="J3592">
            <v>16589623</v>
          </cell>
          <cell r="K3592">
            <v>669</v>
          </cell>
        </row>
        <row r="3593">
          <cell r="A3593" t="str">
            <v>Q1'2025</v>
          </cell>
          <cell r="B3593" t="str">
            <v>Yousef Al Baloushi</v>
          </cell>
          <cell r="E3593" t="str">
            <v>F-NE</v>
          </cell>
          <cell r="F3593" t="str">
            <v>AM</v>
          </cell>
          <cell r="H3593">
            <v>1212</v>
          </cell>
          <cell r="I3593">
            <v>18500</v>
          </cell>
          <cell r="J3593">
            <v>18393840</v>
          </cell>
          <cell r="K3593">
            <v>3681</v>
          </cell>
        </row>
        <row r="3594">
          <cell r="A3594" t="str">
            <v>Q1'2025</v>
          </cell>
          <cell r="B3594" t="str">
            <v>Khaled Alawadi</v>
          </cell>
          <cell r="E3594" t="str">
            <v>F-NE</v>
          </cell>
          <cell r="F3594" t="str">
            <v>D</v>
          </cell>
          <cell r="H3594">
            <v>8712</v>
          </cell>
          <cell r="I3594">
            <v>200000</v>
          </cell>
          <cell r="J3594">
            <v>73820000</v>
          </cell>
          <cell r="K3594">
            <v>21150</v>
          </cell>
        </row>
        <row r="3595">
          <cell r="A3595" t="str">
            <v>Q1'2025</v>
          </cell>
          <cell r="B3595" t="str">
            <v>Ammar Alqudsi</v>
          </cell>
          <cell r="E3595" t="str">
            <v>AUH</v>
          </cell>
          <cell r="F3595" t="str">
            <v>AM</v>
          </cell>
          <cell r="H3595">
            <v>800</v>
          </cell>
          <cell r="I3595">
            <v>100000</v>
          </cell>
          <cell r="J3595">
            <v>15000000</v>
          </cell>
          <cell r="K3595">
            <v>6005</v>
          </cell>
        </row>
        <row r="3596">
          <cell r="A3596" t="str">
            <v>Q1'2025</v>
          </cell>
          <cell r="B3596" t="str">
            <v>Muhammad Nauman Khan</v>
          </cell>
          <cell r="E3596" t="str">
            <v>AUH</v>
          </cell>
          <cell r="F3596" t="str">
            <v>AM</v>
          </cell>
          <cell r="H3596">
            <v>800</v>
          </cell>
          <cell r="I3596">
            <v>100000</v>
          </cell>
          <cell r="J3596">
            <v>15000000</v>
          </cell>
          <cell r="K3596">
            <v>6005</v>
          </cell>
        </row>
        <row r="3597">
          <cell r="A3597" t="str">
            <v>Q1'2025</v>
          </cell>
          <cell r="B3597" t="str">
            <v>Omar AlHammadi</v>
          </cell>
          <cell r="E3597" t="str">
            <v>AUH</v>
          </cell>
          <cell r="F3597" t="str">
            <v>AM</v>
          </cell>
          <cell r="H3597">
            <v>1212</v>
          </cell>
          <cell r="I3597">
            <v>100000</v>
          </cell>
          <cell r="J3597">
            <v>15000000</v>
          </cell>
          <cell r="K3597">
            <v>6005</v>
          </cell>
        </row>
        <row r="3598">
          <cell r="A3598" t="str">
            <v>Q1'2025</v>
          </cell>
          <cell r="B3598" t="str">
            <v>Tarek Solh</v>
          </cell>
          <cell r="E3598" t="str">
            <v>AUH</v>
          </cell>
          <cell r="F3598" t="str">
            <v>AM</v>
          </cell>
          <cell r="H3598">
            <v>800</v>
          </cell>
          <cell r="I3598">
            <v>265659</v>
          </cell>
          <cell r="J3598">
            <v>34640000</v>
          </cell>
          <cell r="K3598">
            <v>6005</v>
          </cell>
        </row>
        <row r="3599">
          <cell r="A3599" t="str">
            <v>Q1'2025</v>
          </cell>
          <cell r="B3599" t="str">
            <v>Khalid Karmastaji</v>
          </cell>
          <cell r="E3599" t="str">
            <v>AUH</v>
          </cell>
          <cell r="F3599" t="str">
            <v>D</v>
          </cell>
          <cell r="H3599">
            <v>3612.0000000000009</v>
          </cell>
          <cell r="I3599">
            <v>565659</v>
          </cell>
          <cell r="J3599">
            <v>79640000</v>
          </cell>
          <cell r="K3599">
            <v>24020</v>
          </cell>
        </row>
        <row r="3600">
          <cell r="A3600" t="str">
            <v>Q1'2025</v>
          </cell>
          <cell r="B3600" t="str">
            <v>Abdel Azim Sharabati</v>
          </cell>
          <cell r="E3600" t="str">
            <v>KEY-B</v>
          </cell>
          <cell r="F3600" t="str">
            <v>AM</v>
          </cell>
          <cell r="H3600">
            <v>200</v>
          </cell>
          <cell r="I3600">
            <v>64128</v>
          </cell>
          <cell r="J3600">
            <v>11821031</v>
          </cell>
          <cell r="K3600">
            <v>5289</v>
          </cell>
        </row>
        <row r="3601">
          <cell r="A3601" t="str">
            <v>Q1'2025</v>
          </cell>
          <cell r="B3601" t="str">
            <v>Abraham Cherian</v>
          </cell>
          <cell r="E3601" t="str">
            <v>KEY-B</v>
          </cell>
          <cell r="F3601" t="str">
            <v>AM</v>
          </cell>
          <cell r="H3601">
            <v>275</v>
          </cell>
          <cell r="I3601">
            <v>101128</v>
          </cell>
          <cell r="J3601">
            <v>32785131</v>
          </cell>
          <cell r="K3601">
            <v>5289</v>
          </cell>
        </row>
        <row r="3602">
          <cell r="A3602" t="str">
            <v>Q1'2025</v>
          </cell>
          <cell r="B3602" t="str">
            <v>Arjun Subaraman</v>
          </cell>
          <cell r="E3602" t="str">
            <v>KEY-B</v>
          </cell>
          <cell r="F3602" t="str">
            <v>AM</v>
          </cell>
          <cell r="H3602">
            <v>250</v>
          </cell>
          <cell r="I3602">
            <v>86128</v>
          </cell>
          <cell r="J3602">
            <v>9967293</v>
          </cell>
          <cell r="K3602">
            <v>5289</v>
          </cell>
        </row>
        <row r="3603">
          <cell r="A3603" t="str">
            <v>Q1'2025</v>
          </cell>
          <cell r="B3603" t="str">
            <v>Ehab Hajou</v>
          </cell>
          <cell r="E3603" t="str">
            <v>KEY-B</v>
          </cell>
          <cell r="F3603" t="str">
            <v>AM</v>
          </cell>
          <cell r="H3603">
            <v>120</v>
          </cell>
          <cell r="I3603">
            <v>51128</v>
          </cell>
          <cell r="J3603">
            <v>7565092</v>
          </cell>
          <cell r="K3603">
            <v>5289</v>
          </cell>
        </row>
        <row r="3604">
          <cell r="A3604" t="str">
            <v>Q1'2025</v>
          </cell>
          <cell r="B3604" t="str">
            <v>Ghassan Fouany</v>
          </cell>
          <cell r="E3604" t="str">
            <v>KEY-B</v>
          </cell>
          <cell r="F3604" t="str">
            <v>AM</v>
          </cell>
          <cell r="H3604">
            <v>200</v>
          </cell>
          <cell r="I3604">
            <v>76128</v>
          </cell>
          <cell r="J3604">
            <v>12066154</v>
          </cell>
          <cell r="K3604">
            <v>5289</v>
          </cell>
        </row>
        <row r="3605">
          <cell r="A3605" t="str">
            <v>Q1'2025</v>
          </cell>
          <cell r="B3605" t="str">
            <v>Inayat Fazili</v>
          </cell>
          <cell r="E3605" t="str">
            <v>KEY-B</v>
          </cell>
          <cell r="F3605" t="str">
            <v>AM</v>
          </cell>
          <cell r="H3605">
            <v>250</v>
          </cell>
          <cell r="I3605">
            <v>66128</v>
          </cell>
          <cell r="J3605">
            <v>14192591</v>
          </cell>
          <cell r="K3605">
            <v>5289</v>
          </cell>
        </row>
        <row r="3606">
          <cell r="A3606" t="str">
            <v>Q1'2025</v>
          </cell>
          <cell r="B3606" t="str">
            <v>Mohamad Labban</v>
          </cell>
          <cell r="E3606" t="str">
            <v>KEY-B</v>
          </cell>
          <cell r="F3606" t="str">
            <v>AM</v>
          </cell>
          <cell r="H3606">
            <v>200</v>
          </cell>
          <cell r="I3606">
            <v>66128</v>
          </cell>
          <cell r="J3606">
            <v>19285011</v>
          </cell>
          <cell r="K3606">
            <v>5289</v>
          </cell>
        </row>
        <row r="3607">
          <cell r="A3607" t="str">
            <v>Q1'2025</v>
          </cell>
          <cell r="B3607" t="str">
            <v>Mostafa Mekawy</v>
          </cell>
          <cell r="E3607" t="str">
            <v>KEY-B</v>
          </cell>
          <cell r="F3607" t="str">
            <v>AM</v>
          </cell>
          <cell r="H3607">
            <v>120</v>
          </cell>
          <cell r="I3607">
            <v>51128</v>
          </cell>
          <cell r="J3607">
            <v>9041955</v>
          </cell>
          <cell r="K3607">
            <v>5289</v>
          </cell>
        </row>
        <row r="3608">
          <cell r="A3608" t="str">
            <v>Q1'2025</v>
          </cell>
          <cell r="B3608" t="str">
            <v>Nadeem Rasheed</v>
          </cell>
          <cell r="E3608" t="str">
            <v>KEY-B</v>
          </cell>
          <cell r="F3608" t="str">
            <v>AM</v>
          </cell>
          <cell r="H3608">
            <v>275</v>
          </cell>
          <cell r="I3608">
            <v>101130</v>
          </cell>
          <cell r="J3608">
            <v>11615741</v>
          </cell>
          <cell r="K3608">
            <v>5289</v>
          </cell>
        </row>
        <row r="3609">
          <cell r="A3609" t="str">
            <v>Q1'2025</v>
          </cell>
          <cell r="B3609" t="str">
            <v>Mazen Adem</v>
          </cell>
          <cell r="E3609" t="str">
            <v>KEY-B</v>
          </cell>
          <cell r="F3609" t="str">
            <v>D</v>
          </cell>
          <cell r="H3609">
            <v>1890</v>
          </cell>
          <cell r="I3609">
            <v>663155</v>
          </cell>
          <cell r="J3609">
            <v>128340000</v>
          </cell>
          <cell r="K3609">
            <v>47600</v>
          </cell>
        </row>
        <row r="3610">
          <cell r="A3610" t="str">
            <v>Q1'2025</v>
          </cell>
          <cell r="B3610" t="str">
            <v>Adnan Bashir</v>
          </cell>
          <cell r="E3610" t="str">
            <v>HUNT</v>
          </cell>
          <cell r="F3610" t="str">
            <v>AM</v>
          </cell>
          <cell r="H3610">
            <v>192.40000000000015</v>
          </cell>
          <cell r="I3610">
            <v>43222.6</v>
          </cell>
          <cell r="J3610">
            <v>6162005</v>
          </cell>
          <cell r="K3610">
            <v>4068</v>
          </cell>
        </row>
        <row r="3611">
          <cell r="A3611" t="str">
            <v>Q1'2025</v>
          </cell>
          <cell r="B3611" t="str">
            <v>Ahmed Shaddad</v>
          </cell>
          <cell r="E3611" t="str">
            <v>HUNT</v>
          </cell>
          <cell r="F3611" t="str">
            <v>AM</v>
          </cell>
          <cell r="H3611">
            <v>192.40000000000015</v>
          </cell>
          <cell r="I3611">
            <v>43222.6</v>
          </cell>
          <cell r="J3611">
            <v>4815321</v>
          </cell>
          <cell r="K3611">
            <v>4068</v>
          </cell>
        </row>
        <row r="3612">
          <cell r="A3612" t="str">
            <v>Q1'2025</v>
          </cell>
          <cell r="B3612" t="str">
            <v>Anastasia Maltseva</v>
          </cell>
          <cell r="E3612" t="str">
            <v>HUNT</v>
          </cell>
          <cell r="F3612" t="str">
            <v>AM</v>
          </cell>
          <cell r="H3612">
            <v>192.40000000000015</v>
          </cell>
          <cell r="I3612">
            <v>43222.6</v>
          </cell>
          <cell r="J3612">
            <v>5652366</v>
          </cell>
          <cell r="K3612">
            <v>4068</v>
          </cell>
        </row>
        <row r="3613">
          <cell r="A3613" t="str">
            <v>Q1'2025</v>
          </cell>
          <cell r="B3613" t="str">
            <v>Favas Kurinhilayil</v>
          </cell>
          <cell r="E3613" t="str">
            <v>HUNT</v>
          </cell>
          <cell r="F3613" t="str">
            <v>AM</v>
          </cell>
          <cell r="H3613">
            <v>192.40000000000015</v>
          </cell>
          <cell r="I3613">
            <v>43222.6</v>
          </cell>
          <cell r="J3613">
            <v>6396748</v>
          </cell>
          <cell r="K3613">
            <v>4068</v>
          </cell>
        </row>
        <row r="3614">
          <cell r="A3614" t="str">
            <v>Q1'2025</v>
          </cell>
          <cell r="B3614" t="str">
            <v>Othman Hassan</v>
          </cell>
          <cell r="E3614" t="str">
            <v>HUNT</v>
          </cell>
          <cell r="F3614" t="str">
            <v>AM</v>
          </cell>
          <cell r="H3614">
            <v>192.40000000000015</v>
          </cell>
          <cell r="I3614">
            <v>43222.6</v>
          </cell>
          <cell r="J3614">
            <v>5763560</v>
          </cell>
          <cell r="K3614">
            <v>4068</v>
          </cell>
        </row>
        <row r="3615">
          <cell r="A3615" t="str">
            <v>Q1'2025</v>
          </cell>
          <cell r="B3615" t="str">
            <v>Mohamed AlZarooni</v>
          </cell>
          <cell r="E3615" t="str">
            <v>HUNT</v>
          </cell>
          <cell r="F3615" t="str">
            <v>D</v>
          </cell>
          <cell r="H3615">
            <v>962.00000000000068</v>
          </cell>
          <cell r="I3615">
            <v>216113</v>
          </cell>
          <cell r="J3615">
            <v>28790000</v>
          </cell>
          <cell r="K3615">
            <v>20340</v>
          </cell>
        </row>
        <row r="3616">
          <cell r="A3616" t="str">
            <v>Q1'2025</v>
          </cell>
          <cell r="B3616" t="str">
            <v>Amjad Ilwan</v>
          </cell>
          <cell r="E3616" t="str">
            <v>KEY-A</v>
          </cell>
          <cell r="F3616" t="str">
            <v>AM</v>
          </cell>
          <cell r="H3616">
            <v>356</v>
          </cell>
          <cell r="I3616">
            <v>30000</v>
          </cell>
          <cell r="J3616">
            <v>11675750</v>
          </cell>
          <cell r="K3616">
            <v>8600</v>
          </cell>
        </row>
        <row r="3617">
          <cell r="A3617" t="str">
            <v>Q1'2025</v>
          </cell>
          <cell r="B3617" t="str">
            <v>Ahemar Khan</v>
          </cell>
          <cell r="E3617" t="str">
            <v>KEY-A</v>
          </cell>
          <cell r="F3617" t="str">
            <v>AM</v>
          </cell>
          <cell r="H3617">
            <v>0</v>
          </cell>
          <cell r="I3617">
            <v>0</v>
          </cell>
          <cell r="J3617">
            <v>30462370</v>
          </cell>
          <cell r="K3617">
            <v>0</v>
          </cell>
        </row>
        <row r="3618">
          <cell r="A3618" t="str">
            <v>Q1'2025</v>
          </cell>
          <cell r="B3618" t="str">
            <v>Fadi Saleh</v>
          </cell>
          <cell r="E3618" t="str">
            <v>KEY-A</v>
          </cell>
          <cell r="F3618" t="str">
            <v>AM</v>
          </cell>
          <cell r="H3618">
            <v>0</v>
          </cell>
          <cell r="I3618">
            <v>0</v>
          </cell>
          <cell r="J3618">
            <v>19235279</v>
          </cell>
          <cell r="K3618">
            <v>0</v>
          </cell>
        </row>
        <row r="3619">
          <cell r="A3619" t="str">
            <v>Q1'2025</v>
          </cell>
          <cell r="B3619" t="str">
            <v>Ninette Hajjar</v>
          </cell>
          <cell r="E3619" t="str">
            <v>KEY-A</v>
          </cell>
          <cell r="F3619" t="str">
            <v>AM</v>
          </cell>
          <cell r="H3619">
            <v>0</v>
          </cell>
          <cell r="I3619">
            <v>0</v>
          </cell>
          <cell r="J3619">
            <v>16720366</v>
          </cell>
          <cell r="K3619">
            <v>0</v>
          </cell>
        </row>
        <row r="3620">
          <cell r="A3620" t="str">
            <v>Q1'2025</v>
          </cell>
          <cell r="B3620" t="str">
            <v>Rijith Menon</v>
          </cell>
          <cell r="E3620" t="str">
            <v>KEY-A</v>
          </cell>
          <cell r="F3620" t="str">
            <v>AM</v>
          </cell>
          <cell r="H3620">
            <v>500</v>
          </cell>
          <cell r="I3620">
            <v>30000</v>
          </cell>
          <cell r="J3620">
            <v>16593733</v>
          </cell>
          <cell r="K3620">
            <v>8600</v>
          </cell>
        </row>
        <row r="3621">
          <cell r="A3621" t="str">
            <v>Q1'2025</v>
          </cell>
          <cell r="B3621" t="str">
            <v>Suleiman Wanni</v>
          </cell>
          <cell r="E3621" t="str">
            <v>KEY-A</v>
          </cell>
          <cell r="F3621" t="str">
            <v>AM</v>
          </cell>
          <cell r="H3621">
            <v>406</v>
          </cell>
          <cell r="I3621">
            <v>50000</v>
          </cell>
          <cell r="J3621">
            <v>11454199</v>
          </cell>
          <cell r="K3621">
            <v>8600</v>
          </cell>
        </row>
        <row r="3622">
          <cell r="A3622" t="str">
            <v>Q1'2025</v>
          </cell>
          <cell r="B3622" t="str">
            <v>Waseem Suhaf</v>
          </cell>
          <cell r="E3622" t="str">
            <v>KEY-A</v>
          </cell>
          <cell r="F3622" t="str">
            <v>AM</v>
          </cell>
          <cell r="H3622">
            <v>450</v>
          </cell>
          <cell r="I3622">
            <v>50000</v>
          </cell>
          <cell r="J3622">
            <v>17038303</v>
          </cell>
          <cell r="K3622">
            <v>8600</v>
          </cell>
        </row>
        <row r="3623">
          <cell r="A3623" t="str">
            <v>Q1'2025</v>
          </cell>
          <cell r="B3623" t="str">
            <v>Hany Jawee</v>
          </cell>
          <cell r="E3623" t="str">
            <v>KEY-A</v>
          </cell>
          <cell r="F3623" t="str">
            <v>D</v>
          </cell>
          <cell r="H3623">
            <v>1712.0000000000007</v>
          </cell>
          <cell r="I3623">
            <v>1000000</v>
          </cell>
          <cell r="J3623">
            <v>125280000</v>
          </cell>
          <cell r="K3623">
            <v>34400</v>
          </cell>
        </row>
        <row r="3624">
          <cell r="A3624" t="str">
            <v>Q1'2025</v>
          </cell>
          <cell r="B3624" t="str">
            <v>Ahmad Ozdamir</v>
          </cell>
          <cell r="E3624" t="str">
            <v>LE</v>
          </cell>
          <cell r="F3624" t="str">
            <v>AM</v>
          </cell>
          <cell r="H3624">
            <v>428</v>
          </cell>
          <cell r="I3624">
            <v>55581.86</v>
          </cell>
          <cell r="J3624">
            <v>9438506.5299999993</v>
          </cell>
          <cell r="K3624">
            <v>6000</v>
          </cell>
        </row>
        <row r="3625">
          <cell r="A3625" t="str">
            <v>Q1'2025</v>
          </cell>
          <cell r="B3625" t="str">
            <v>Eslam Hassan</v>
          </cell>
          <cell r="E3625" t="str">
            <v>LE</v>
          </cell>
          <cell r="F3625" t="str">
            <v>AM</v>
          </cell>
          <cell r="H3625">
            <v>432</v>
          </cell>
          <cell r="I3625">
            <v>55581.86</v>
          </cell>
          <cell r="J3625">
            <v>10164829.9</v>
          </cell>
          <cell r="K3625">
            <v>3040</v>
          </cell>
        </row>
        <row r="3626">
          <cell r="A3626" t="str">
            <v>Q1'2025</v>
          </cell>
          <cell r="B3626" t="str">
            <v>Khaled Abdelaziz</v>
          </cell>
          <cell r="E3626" t="str">
            <v>LE</v>
          </cell>
          <cell r="F3626" t="str">
            <v>AM</v>
          </cell>
          <cell r="H3626">
            <v>428</v>
          </cell>
          <cell r="I3626">
            <v>55581.86</v>
          </cell>
          <cell r="J3626">
            <v>8867768.8399999999</v>
          </cell>
          <cell r="K3626">
            <v>6000</v>
          </cell>
        </row>
        <row r="3627">
          <cell r="A3627" t="str">
            <v>Q1'2025</v>
          </cell>
          <cell r="B3627" t="str">
            <v>Mohamed Kishk</v>
          </cell>
          <cell r="E3627" t="str">
            <v>LE</v>
          </cell>
          <cell r="F3627" t="str">
            <v>AM</v>
          </cell>
          <cell r="H3627">
            <v>1500</v>
          </cell>
          <cell r="I3627">
            <v>33000.36</v>
          </cell>
          <cell r="J3627">
            <v>12990019.140000001</v>
          </cell>
          <cell r="K3627">
            <v>3000</v>
          </cell>
        </row>
        <row r="3628">
          <cell r="A3628" t="str">
            <v>Q1'2025</v>
          </cell>
          <cell r="B3628" t="str">
            <v>Mohamed Mostafa</v>
          </cell>
          <cell r="E3628" t="str">
            <v>LE</v>
          </cell>
          <cell r="F3628" t="str">
            <v>AM</v>
          </cell>
          <cell r="H3628">
            <v>428</v>
          </cell>
          <cell r="I3628">
            <v>55581.86</v>
          </cell>
          <cell r="J3628">
            <v>6671598.3300000001</v>
          </cell>
          <cell r="K3628">
            <v>6000</v>
          </cell>
        </row>
        <row r="3629">
          <cell r="A3629" t="str">
            <v>Q1'2025</v>
          </cell>
          <cell r="B3629" t="str">
            <v>Mushahid Hussain Syed</v>
          </cell>
          <cell r="E3629" t="str">
            <v>LE</v>
          </cell>
          <cell r="F3629" t="str">
            <v>AM</v>
          </cell>
          <cell r="H3629">
            <v>428</v>
          </cell>
          <cell r="I3629">
            <v>55581.86</v>
          </cell>
          <cell r="J3629">
            <v>9075029.5500000007</v>
          </cell>
          <cell r="K3629">
            <v>6000</v>
          </cell>
        </row>
        <row r="3630">
          <cell r="A3630" t="str">
            <v>Q1'2025</v>
          </cell>
          <cell r="B3630" t="str">
            <v>Peter Sedrak</v>
          </cell>
          <cell r="E3630" t="str">
            <v>LE</v>
          </cell>
          <cell r="F3630" t="str">
            <v>AM</v>
          </cell>
          <cell r="H3630">
            <v>1500</v>
          </cell>
          <cell r="I3630">
            <v>33000</v>
          </cell>
          <cell r="J3630">
            <v>7886830.9900000002</v>
          </cell>
          <cell r="K3630">
            <v>6000</v>
          </cell>
        </row>
        <row r="3631">
          <cell r="A3631" t="str">
            <v>Q1'2025</v>
          </cell>
          <cell r="B3631" t="str">
            <v>Ramy Abdel Fattah</v>
          </cell>
          <cell r="E3631" t="str">
            <v>LE</v>
          </cell>
          <cell r="F3631" t="str">
            <v>AM</v>
          </cell>
          <cell r="H3631">
            <v>428</v>
          </cell>
          <cell r="I3631">
            <v>55581.86</v>
          </cell>
          <cell r="J3631">
            <v>8620555.1799999997</v>
          </cell>
          <cell r="K3631">
            <v>6000</v>
          </cell>
        </row>
        <row r="3632">
          <cell r="A3632" t="str">
            <v>Q1'2025</v>
          </cell>
          <cell r="B3632" t="str">
            <v>Shabbir Lacewala</v>
          </cell>
          <cell r="E3632" t="str">
            <v>LE</v>
          </cell>
          <cell r="F3632" t="str">
            <v>AM</v>
          </cell>
          <cell r="H3632">
            <v>428</v>
          </cell>
          <cell r="I3632">
            <v>55581.86</v>
          </cell>
          <cell r="J3632">
            <v>8374861.54</v>
          </cell>
          <cell r="K3632">
            <v>6000</v>
          </cell>
        </row>
        <row r="3633">
          <cell r="A3633" t="str">
            <v>Q1'2025</v>
          </cell>
          <cell r="B3633" t="str">
            <v>Muhammad Shahzad Hasan</v>
          </cell>
          <cell r="E3633" t="str">
            <v>LE</v>
          </cell>
          <cell r="F3633" t="str">
            <v>D</v>
          </cell>
          <cell r="H3633">
            <v>6000</v>
          </cell>
          <cell r="I3633">
            <v>455073</v>
          </cell>
          <cell r="J3633">
            <v>82090000</v>
          </cell>
          <cell r="K3633">
            <v>48040</v>
          </cell>
        </row>
        <row r="3634">
          <cell r="A3634" t="str">
            <v>Q2'2025</v>
          </cell>
          <cell r="B3634" t="str">
            <v>Ammar Alqudsi</v>
          </cell>
          <cell r="E3634" t="str">
            <v>AUH</v>
          </cell>
          <cell r="F3634" t="str">
            <v>AM</v>
          </cell>
          <cell r="H3634">
            <v>1412</v>
          </cell>
          <cell r="I3634">
            <v>140000</v>
          </cell>
          <cell r="J3634">
            <v>15000000</v>
          </cell>
          <cell r="K3634">
            <v>6575</v>
          </cell>
        </row>
        <row r="3635">
          <cell r="A3635" t="str">
            <v>Q2'2025</v>
          </cell>
          <cell r="B3635" t="str">
            <v>Muhammad Nauman Khan</v>
          </cell>
          <cell r="E3635" t="str">
            <v>AUH</v>
          </cell>
          <cell r="F3635" t="str">
            <v>AM</v>
          </cell>
          <cell r="H3635">
            <v>1610</v>
          </cell>
          <cell r="I3635">
            <v>140000</v>
          </cell>
          <cell r="J3635">
            <v>15000000</v>
          </cell>
          <cell r="K3635">
            <v>6575</v>
          </cell>
        </row>
        <row r="3636">
          <cell r="A3636" t="str">
            <v>Q2'2025</v>
          </cell>
          <cell r="B3636" t="str">
            <v>Omar AlHammadi</v>
          </cell>
          <cell r="E3636" t="str">
            <v>AUH</v>
          </cell>
          <cell r="F3636" t="str">
            <v>AM</v>
          </cell>
          <cell r="H3636">
            <v>1810</v>
          </cell>
          <cell r="I3636">
            <v>120000</v>
          </cell>
          <cell r="J3636">
            <v>15000000</v>
          </cell>
          <cell r="K3636">
            <v>6575</v>
          </cell>
        </row>
        <row r="3637">
          <cell r="A3637" t="str">
            <v>Q2'2025</v>
          </cell>
          <cell r="B3637" t="str">
            <v>Tarek Solh</v>
          </cell>
          <cell r="E3637" t="str">
            <v>AUH</v>
          </cell>
          <cell r="F3637" t="str">
            <v>AM</v>
          </cell>
          <cell r="H3637">
            <v>1520</v>
          </cell>
          <cell r="I3637">
            <v>262629</v>
          </cell>
          <cell r="J3637">
            <v>33105000</v>
          </cell>
          <cell r="K3637">
            <v>6575</v>
          </cell>
        </row>
        <row r="3638">
          <cell r="A3638" t="str">
            <v>Q2'2025</v>
          </cell>
          <cell r="B3638" t="str">
            <v>Khalid Karmastaji</v>
          </cell>
          <cell r="E3638" t="str">
            <v>AUH</v>
          </cell>
          <cell r="F3638" t="str">
            <v>D</v>
          </cell>
          <cell r="H3638">
            <v>6352</v>
          </cell>
          <cell r="I3638">
            <v>662629</v>
          </cell>
          <cell r="J3638">
            <v>78105000</v>
          </cell>
          <cell r="K3638">
            <v>26300</v>
          </cell>
        </row>
        <row r="3639">
          <cell r="A3639" t="str">
            <v>Q2'2025</v>
          </cell>
          <cell r="B3639" t="str">
            <v>Humaid Al Ali</v>
          </cell>
          <cell r="E3639" t="str">
            <v>DXB</v>
          </cell>
          <cell r="F3639" t="str">
            <v>AM</v>
          </cell>
          <cell r="H3639">
            <v>1100</v>
          </cell>
          <cell r="I3639">
            <v>130000</v>
          </cell>
          <cell r="J3639">
            <v>22660000</v>
          </cell>
          <cell r="K3639">
            <v>7500</v>
          </cell>
        </row>
        <row r="3640">
          <cell r="A3640" t="str">
            <v>Q2'2025</v>
          </cell>
          <cell r="B3640" t="str">
            <v>Mohamed Mady</v>
          </cell>
          <cell r="E3640" t="str">
            <v>DXB</v>
          </cell>
          <cell r="F3640" t="str">
            <v>AM</v>
          </cell>
          <cell r="H3640">
            <v>400</v>
          </cell>
          <cell r="I3640">
            <v>78571</v>
          </cell>
          <cell r="J3640">
            <v>7130000</v>
          </cell>
          <cell r="K3640">
            <v>5360</v>
          </cell>
        </row>
        <row r="3641">
          <cell r="A3641" t="str">
            <v>Q2'2025</v>
          </cell>
          <cell r="B3641" t="str">
            <v>Maen Okour</v>
          </cell>
          <cell r="E3641" t="str">
            <v>DXB</v>
          </cell>
          <cell r="F3641" t="str">
            <v>AM</v>
          </cell>
          <cell r="H3641">
            <v>0</v>
          </cell>
          <cell r="I3641">
            <v>0</v>
          </cell>
          <cell r="J3641">
            <v>23400000</v>
          </cell>
          <cell r="K3641">
            <v>0</v>
          </cell>
        </row>
        <row r="3642">
          <cell r="A3642" t="str">
            <v>Q2'2025</v>
          </cell>
          <cell r="B3642" t="str">
            <v>Muhannad Allow</v>
          </cell>
          <cell r="E3642" t="str">
            <v>DXB</v>
          </cell>
          <cell r="F3642" t="str">
            <v>AM</v>
          </cell>
          <cell r="H3642">
            <v>0</v>
          </cell>
          <cell r="I3642">
            <v>0</v>
          </cell>
          <cell r="J3642">
            <v>10950000</v>
          </cell>
          <cell r="K3642">
            <v>0</v>
          </cell>
        </row>
        <row r="3643">
          <cell r="A3643" t="str">
            <v>Q2'2025</v>
          </cell>
          <cell r="B3643" t="str">
            <v>Ramzi Gholmieh</v>
          </cell>
          <cell r="E3643" t="str">
            <v>DXB</v>
          </cell>
          <cell r="F3643" t="str">
            <v>AM</v>
          </cell>
          <cell r="H3643">
            <v>715</v>
          </cell>
          <cell r="I3643">
            <v>130000</v>
          </cell>
          <cell r="J3643">
            <v>13970000</v>
          </cell>
          <cell r="K3643">
            <v>7500</v>
          </cell>
        </row>
        <row r="3644">
          <cell r="A3644" t="str">
            <v>Q2'2025</v>
          </cell>
          <cell r="B3644" t="str">
            <v>Talal Ahmed Ali Alsharhan</v>
          </cell>
          <cell r="E3644" t="str">
            <v>DXB</v>
          </cell>
          <cell r="F3644" t="str">
            <v>AM</v>
          </cell>
          <cell r="H3644">
            <v>2100</v>
          </cell>
          <cell r="I3644">
            <v>130000</v>
          </cell>
          <cell r="J3644">
            <v>14534000</v>
          </cell>
          <cell r="K3644">
            <v>7500</v>
          </cell>
        </row>
        <row r="3645">
          <cell r="A3645" t="str">
            <v>Q2'2025</v>
          </cell>
          <cell r="B3645" t="str">
            <v>Mohamad Amer Sibai</v>
          </cell>
          <cell r="E3645" t="str">
            <v>DXB</v>
          </cell>
          <cell r="F3645" t="str">
            <v>D</v>
          </cell>
          <cell r="H3645">
            <v>4315</v>
          </cell>
          <cell r="I3645">
            <v>468571</v>
          </cell>
          <cell r="J3645">
            <v>92644000</v>
          </cell>
          <cell r="K3645">
            <v>27860</v>
          </cell>
        </row>
        <row r="3646">
          <cell r="A3646" t="str">
            <v>Q2'2025</v>
          </cell>
          <cell r="B3646" t="str">
            <v>Bader Al Shehhi</v>
          </cell>
          <cell r="E3646" t="str">
            <v>F-NE</v>
          </cell>
          <cell r="F3646" t="str">
            <v>AM</v>
          </cell>
          <cell r="H3646">
            <v>1200</v>
          </cell>
          <cell r="I3646">
            <v>39286</v>
          </cell>
          <cell r="J3646">
            <v>6726165</v>
          </cell>
          <cell r="K3646">
            <v>713</v>
          </cell>
        </row>
        <row r="3647">
          <cell r="A3647" t="str">
            <v>Q2'2025</v>
          </cell>
          <cell r="B3647" t="str">
            <v>Bashar Al Adilee</v>
          </cell>
          <cell r="E3647" t="str">
            <v>F-NE</v>
          </cell>
          <cell r="F3647" t="str">
            <v>AM</v>
          </cell>
          <cell r="H3647">
            <v>1200</v>
          </cell>
          <cell r="I3647">
            <v>45000</v>
          </cell>
          <cell r="J3647">
            <v>15549186</v>
          </cell>
          <cell r="K3647">
            <v>15329</v>
          </cell>
        </row>
        <row r="3648">
          <cell r="A3648" t="str">
            <v>Q2'2025</v>
          </cell>
          <cell r="B3648" t="str">
            <v>Majd Nairoukh</v>
          </cell>
          <cell r="E3648" t="str">
            <v>F-NE</v>
          </cell>
          <cell r="F3648" t="str">
            <v>AM</v>
          </cell>
          <cell r="H3648">
            <v>1700</v>
          </cell>
          <cell r="I3648">
            <v>45000</v>
          </cell>
          <cell r="J3648">
            <v>16285189</v>
          </cell>
          <cell r="K3648">
            <v>1925</v>
          </cell>
        </row>
        <row r="3649">
          <cell r="A3649" t="str">
            <v>Q2'2025</v>
          </cell>
          <cell r="B3649" t="str">
            <v>Nader AlMustafa</v>
          </cell>
          <cell r="E3649" t="str">
            <v>F-NE</v>
          </cell>
          <cell r="F3649" t="str">
            <v>AM</v>
          </cell>
          <cell r="H3649">
            <v>3300</v>
          </cell>
          <cell r="I3649">
            <v>45000</v>
          </cell>
          <cell r="J3649">
            <v>16699754</v>
          </cell>
          <cell r="K3649">
            <v>713</v>
          </cell>
        </row>
        <row r="3650">
          <cell r="A3650" t="str">
            <v>Q2'2025</v>
          </cell>
          <cell r="B3650" t="str">
            <v>Yousef Al Baloushi</v>
          </cell>
          <cell r="E3650" t="str">
            <v>F-NE</v>
          </cell>
          <cell r="F3650" t="str">
            <v>AM</v>
          </cell>
          <cell r="H3650">
            <v>1800</v>
          </cell>
          <cell r="I3650">
            <v>60000</v>
          </cell>
          <cell r="J3650">
            <v>18132706</v>
          </cell>
          <cell r="K3650">
            <v>3850</v>
          </cell>
        </row>
        <row r="3651">
          <cell r="A3651" t="str">
            <v>Q2'2025</v>
          </cell>
          <cell r="B3651" t="str">
            <v>Khaled Alawadi</v>
          </cell>
          <cell r="E3651" t="str">
            <v>F-NE</v>
          </cell>
          <cell r="F3651" t="str">
            <v>D</v>
          </cell>
          <cell r="H3651">
            <v>9200</v>
          </cell>
          <cell r="I3651">
            <v>234285.71428571429</v>
          </cell>
          <cell r="J3651">
            <v>73393000</v>
          </cell>
          <cell r="K3651">
            <v>22530</v>
          </cell>
        </row>
        <row r="3652">
          <cell r="A3652" t="str">
            <v>Q2'2025</v>
          </cell>
          <cell r="B3652" t="str">
            <v>Adnan Bashir</v>
          </cell>
          <cell r="E3652" t="str">
            <v>HUNT</v>
          </cell>
          <cell r="F3652" t="str">
            <v>AM</v>
          </cell>
          <cell r="H3652">
            <v>436</v>
          </cell>
          <cell r="I3652">
            <v>63291</v>
          </cell>
          <cell r="J3652">
            <v>7198065</v>
          </cell>
          <cell r="K3652">
            <v>5445</v>
          </cell>
        </row>
        <row r="3653">
          <cell r="A3653" t="str">
            <v>Q2'2025</v>
          </cell>
          <cell r="B3653" t="str">
            <v>Ahmed Shaddad</v>
          </cell>
          <cell r="E3653" t="str">
            <v>HUNT</v>
          </cell>
          <cell r="F3653" t="str">
            <v>AM</v>
          </cell>
          <cell r="H3653">
            <v>436</v>
          </cell>
          <cell r="I3653">
            <v>63290</v>
          </cell>
          <cell r="J3653">
            <v>6277635</v>
          </cell>
          <cell r="K3653">
            <v>5445</v>
          </cell>
        </row>
        <row r="3654">
          <cell r="A3654" t="str">
            <v>Q2'2025</v>
          </cell>
          <cell r="B3654" t="str">
            <v>Favas Kurinhilayil</v>
          </cell>
          <cell r="E3654" t="str">
            <v>HUNT</v>
          </cell>
          <cell r="F3654" t="str">
            <v>AM</v>
          </cell>
          <cell r="H3654">
            <v>435</v>
          </cell>
          <cell r="I3654">
            <v>63290</v>
          </cell>
          <cell r="J3654">
            <v>7538548</v>
          </cell>
          <cell r="K3654">
            <v>5445</v>
          </cell>
        </row>
        <row r="3655">
          <cell r="A3655" t="str">
            <v>Q2'2025</v>
          </cell>
          <cell r="B3655" t="str">
            <v>Othman Hassan</v>
          </cell>
          <cell r="E3655" t="str">
            <v>HUNT</v>
          </cell>
          <cell r="F3655" t="str">
            <v>AM</v>
          </cell>
          <cell r="H3655">
            <v>436</v>
          </cell>
          <cell r="I3655">
            <v>63290</v>
          </cell>
          <cell r="J3655">
            <v>6891052</v>
          </cell>
          <cell r="K3655">
            <v>5445</v>
          </cell>
        </row>
        <row r="3656">
          <cell r="A3656" t="str">
            <v>Q2'2025</v>
          </cell>
          <cell r="B3656" t="str">
            <v>Mohamed AlZarooni</v>
          </cell>
          <cell r="E3656" t="str">
            <v>HUNT</v>
          </cell>
          <cell r="F3656" t="str">
            <v>D</v>
          </cell>
          <cell r="H3656">
            <v>1743</v>
          </cell>
          <cell r="I3656">
            <v>253161</v>
          </cell>
          <cell r="J3656">
            <v>27905300</v>
          </cell>
          <cell r="K3656">
            <v>21780</v>
          </cell>
        </row>
        <row r="3657">
          <cell r="A3657" t="str">
            <v>Q2'2025</v>
          </cell>
          <cell r="B3657" t="str">
            <v>Amjad Ilwan</v>
          </cell>
          <cell r="E3657" t="str">
            <v>KEY-A</v>
          </cell>
          <cell r="F3657" t="str">
            <v>AM</v>
          </cell>
          <cell r="H3657">
            <v>450</v>
          </cell>
          <cell r="I3657">
            <v>40000</v>
          </cell>
          <cell r="J3657">
            <v>12101700</v>
          </cell>
          <cell r="K3657">
            <v>12600</v>
          </cell>
        </row>
        <row r="3658">
          <cell r="A3658" t="str">
            <v>Q2'2025</v>
          </cell>
          <cell r="B3658" t="str">
            <v>Ahemar Khan</v>
          </cell>
          <cell r="E3658" t="str">
            <v>KEY-A</v>
          </cell>
          <cell r="F3658" t="str">
            <v>AM</v>
          </cell>
          <cell r="H3658">
            <v>0</v>
          </cell>
          <cell r="I3658">
            <v>0</v>
          </cell>
          <cell r="J3658">
            <v>33128002</v>
          </cell>
          <cell r="K3658">
            <v>0</v>
          </cell>
        </row>
        <row r="3659">
          <cell r="A3659" t="str">
            <v>Q2'2025</v>
          </cell>
          <cell r="B3659" t="str">
            <v>Fadi Saleh</v>
          </cell>
          <cell r="E3659" t="str">
            <v>KEY-A</v>
          </cell>
          <cell r="F3659" t="str">
            <v>AM</v>
          </cell>
          <cell r="H3659">
            <v>0</v>
          </cell>
          <cell r="I3659">
            <v>0</v>
          </cell>
          <cell r="J3659">
            <v>20854901</v>
          </cell>
          <cell r="K3659">
            <v>0</v>
          </cell>
        </row>
        <row r="3660">
          <cell r="A3660" t="str">
            <v>Q2'2025</v>
          </cell>
          <cell r="B3660" t="str">
            <v>Ninette Hajjar</v>
          </cell>
          <cell r="E3660" t="str">
            <v>KEY-A</v>
          </cell>
          <cell r="F3660" t="str">
            <v>AM</v>
          </cell>
          <cell r="H3660">
            <v>0</v>
          </cell>
          <cell r="I3660">
            <v>0</v>
          </cell>
          <cell r="J3660">
            <v>15671695</v>
          </cell>
          <cell r="K3660">
            <v>0</v>
          </cell>
        </row>
        <row r="3661">
          <cell r="A3661" t="str">
            <v>Q2'2025</v>
          </cell>
          <cell r="B3661" t="str">
            <v>Rijith Menon</v>
          </cell>
          <cell r="E3661" t="str">
            <v>KEY-A</v>
          </cell>
          <cell r="F3661" t="str">
            <v>AM</v>
          </cell>
          <cell r="H3661">
            <v>650</v>
          </cell>
          <cell r="I3661">
            <v>50000</v>
          </cell>
          <cell r="J3661">
            <v>16822608</v>
          </cell>
          <cell r="K3661">
            <v>10830</v>
          </cell>
        </row>
        <row r="3662">
          <cell r="A3662" t="str">
            <v>Q2'2025</v>
          </cell>
          <cell r="B3662" t="str">
            <v>Suleiman Wanni</v>
          </cell>
          <cell r="E3662" t="str">
            <v>KEY-A</v>
          </cell>
          <cell r="F3662" t="str">
            <v>AM</v>
          </cell>
          <cell r="H3662">
            <v>550</v>
          </cell>
          <cell r="I3662">
            <v>50000</v>
          </cell>
          <cell r="J3662">
            <v>13004675</v>
          </cell>
          <cell r="K3662">
            <v>12600</v>
          </cell>
        </row>
        <row r="3663">
          <cell r="A3663" t="str">
            <v>Q2'2025</v>
          </cell>
          <cell r="B3663" t="str">
            <v>Waseem Suhaf</v>
          </cell>
          <cell r="E3663" t="str">
            <v>KEY-A</v>
          </cell>
          <cell r="F3663" t="str">
            <v>AM</v>
          </cell>
          <cell r="H3663">
            <v>550</v>
          </cell>
          <cell r="I3663">
            <v>40000</v>
          </cell>
          <cell r="J3663">
            <v>15075119</v>
          </cell>
          <cell r="K3663">
            <v>6000</v>
          </cell>
        </row>
        <row r="3664">
          <cell r="A3664" t="str">
            <v>Q2'2025</v>
          </cell>
          <cell r="B3664" t="str">
            <v>Hany Jawee</v>
          </cell>
          <cell r="E3664" t="str">
            <v>KEY-A</v>
          </cell>
          <cell r="F3664" t="str">
            <v>D</v>
          </cell>
          <cell r="H3664">
            <v>2200</v>
          </cell>
          <cell r="I3664">
            <v>1171429</v>
          </cell>
          <cell r="J3664">
            <v>126658700</v>
          </cell>
          <cell r="K3664">
            <v>42030</v>
          </cell>
        </row>
        <row r="3665">
          <cell r="A3665" t="str">
            <v>Q2'2025</v>
          </cell>
          <cell r="B3665" t="str">
            <v>Abdel Azim Sharabati</v>
          </cell>
          <cell r="E3665" t="str">
            <v>KEY-B</v>
          </cell>
          <cell r="F3665" t="str">
            <v>AM</v>
          </cell>
          <cell r="H3665">
            <v>222</v>
          </cell>
          <cell r="I3665">
            <v>132634</v>
          </cell>
          <cell r="J3665">
            <v>14026385</v>
          </cell>
          <cell r="K3665">
            <v>6310</v>
          </cell>
        </row>
        <row r="3666">
          <cell r="A3666" t="str">
            <v>Q2'2025</v>
          </cell>
          <cell r="B3666" t="str">
            <v>Abraham Cherian</v>
          </cell>
          <cell r="E3666" t="str">
            <v>KEY-B</v>
          </cell>
          <cell r="F3666" t="str">
            <v>AM</v>
          </cell>
          <cell r="H3666">
            <v>294</v>
          </cell>
          <cell r="I3666">
            <v>91315</v>
          </cell>
          <cell r="J3666">
            <v>34377323</v>
          </cell>
          <cell r="K3666">
            <v>6310</v>
          </cell>
        </row>
        <row r="3667">
          <cell r="A3667" t="str">
            <v>Q2'2025</v>
          </cell>
          <cell r="B3667" t="str">
            <v>Arjun Subaraman</v>
          </cell>
          <cell r="E3667" t="str">
            <v>KEY-B</v>
          </cell>
          <cell r="F3667" t="str">
            <v>AM</v>
          </cell>
          <cell r="H3667">
            <v>242</v>
          </cell>
          <cell r="I3667">
            <v>76315</v>
          </cell>
          <cell r="J3667">
            <v>10437433</v>
          </cell>
          <cell r="K3667">
            <v>6310</v>
          </cell>
        </row>
        <row r="3668">
          <cell r="A3668" t="str">
            <v>Q2'2025</v>
          </cell>
          <cell r="B3668" t="str">
            <v>Ehab Hajou</v>
          </cell>
          <cell r="E3668" t="str">
            <v>KEY-B</v>
          </cell>
          <cell r="F3668" t="str">
            <v>AM</v>
          </cell>
          <cell r="H3668">
            <v>262</v>
          </cell>
          <cell r="I3668">
            <v>46315</v>
          </cell>
          <cell r="J3668">
            <v>7895146</v>
          </cell>
          <cell r="K3668">
            <v>6310</v>
          </cell>
        </row>
        <row r="3669">
          <cell r="A3669" t="str">
            <v>Q2'2025</v>
          </cell>
          <cell r="B3669" t="str">
            <v>Ghassan Fouany</v>
          </cell>
          <cell r="E3669" t="str">
            <v>KEY-B</v>
          </cell>
          <cell r="F3669" t="str">
            <v>AM</v>
          </cell>
          <cell r="H3669">
            <v>342</v>
          </cell>
          <cell r="I3669">
            <v>50000</v>
          </cell>
          <cell r="J3669">
            <v>8417126</v>
          </cell>
          <cell r="K3669">
            <v>6310</v>
          </cell>
        </row>
        <row r="3670">
          <cell r="A3670" t="str">
            <v>Q2'2025</v>
          </cell>
          <cell r="B3670" t="str">
            <v>Inayat Fazili</v>
          </cell>
          <cell r="E3670" t="str">
            <v>KEY-B</v>
          </cell>
          <cell r="F3670" t="str">
            <v>AM</v>
          </cell>
          <cell r="H3670">
            <v>342</v>
          </cell>
          <cell r="I3670">
            <v>61315</v>
          </cell>
          <cell r="J3670">
            <v>14416143</v>
          </cell>
          <cell r="K3670">
            <v>6310</v>
          </cell>
        </row>
        <row r="3671">
          <cell r="A3671" t="str">
            <v>Q2'2025</v>
          </cell>
          <cell r="B3671" t="str">
            <v>Mohamad Labban</v>
          </cell>
          <cell r="E3671" t="str">
            <v>KEY-B</v>
          </cell>
          <cell r="F3671" t="str">
            <v>AM</v>
          </cell>
          <cell r="H3671">
            <v>162</v>
          </cell>
          <cell r="I3671">
            <v>121315</v>
          </cell>
          <cell r="J3671">
            <v>15145773</v>
          </cell>
          <cell r="K3671">
            <v>6310</v>
          </cell>
        </row>
        <row r="3672">
          <cell r="A3672" t="str">
            <v>Q2'2025</v>
          </cell>
          <cell r="B3672" t="str">
            <v>Mostafa Mekawy</v>
          </cell>
          <cell r="E3672" t="str">
            <v>KEY-B</v>
          </cell>
          <cell r="F3672" t="str">
            <v>AM</v>
          </cell>
          <cell r="H3672">
            <v>292</v>
          </cell>
          <cell r="I3672">
            <v>36315</v>
          </cell>
          <cell r="J3672">
            <v>14459716</v>
          </cell>
          <cell r="K3672">
            <v>6310</v>
          </cell>
        </row>
        <row r="3673">
          <cell r="A3673" t="str">
            <v>Q2'2025</v>
          </cell>
          <cell r="B3673" t="str">
            <v>Nadeem Rasheed</v>
          </cell>
          <cell r="E3673" t="str">
            <v>KEY-B</v>
          </cell>
          <cell r="F3673" t="str">
            <v>AM</v>
          </cell>
          <cell r="H3673">
            <v>242</v>
          </cell>
          <cell r="I3673">
            <v>161315</v>
          </cell>
          <cell r="J3673">
            <v>10391455</v>
          </cell>
          <cell r="K3673">
            <v>6310</v>
          </cell>
        </row>
        <row r="3674">
          <cell r="A3674" t="str">
            <v>Q2'2025</v>
          </cell>
          <cell r="B3674" t="str">
            <v>Mazen Adem</v>
          </cell>
          <cell r="E3674" t="str">
            <v>KEY-B</v>
          </cell>
          <cell r="F3674" t="str">
            <v>D</v>
          </cell>
          <cell r="H3674">
            <v>2400</v>
          </cell>
          <cell r="I3674">
            <v>776839</v>
          </cell>
          <cell r="J3674">
            <v>129566500</v>
          </cell>
          <cell r="K3674">
            <v>56790</v>
          </cell>
        </row>
        <row r="3675">
          <cell r="A3675" t="str">
            <v>Q2'2025</v>
          </cell>
          <cell r="B3675" t="str">
            <v>Ahmad Ozdamir</v>
          </cell>
          <cell r="E3675" t="str">
            <v>LE</v>
          </cell>
          <cell r="F3675" t="str">
            <v>AM</v>
          </cell>
          <cell r="H3675">
            <v>550</v>
          </cell>
          <cell r="I3675">
            <v>65440</v>
          </cell>
          <cell r="J3675">
            <v>9507300</v>
          </cell>
          <cell r="K3675">
            <v>6276</v>
          </cell>
        </row>
        <row r="3676">
          <cell r="A3676" t="str">
            <v>Q2'2025</v>
          </cell>
          <cell r="B3676" t="str">
            <v>Eslam Hassan</v>
          </cell>
          <cell r="E3676" t="str">
            <v>LE</v>
          </cell>
          <cell r="F3676" t="str">
            <v>AM</v>
          </cell>
          <cell r="H3676">
            <v>550</v>
          </cell>
          <cell r="I3676">
            <v>65441</v>
          </cell>
          <cell r="J3676">
            <v>11884125</v>
          </cell>
          <cell r="K3676">
            <v>6276</v>
          </cell>
        </row>
        <row r="3677">
          <cell r="A3677" t="str">
            <v>Q2'2025</v>
          </cell>
          <cell r="B3677" t="str">
            <v>Khaled Abdelaziz</v>
          </cell>
          <cell r="E3677" t="str">
            <v>LE</v>
          </cell>
          <cell r="F3677" t="str">
            <v>AM</v>
          </cell>
          <cell r="H3677">
            <v>550</v>
          </cell>
          <cell r="I3677">
            <v>65441</v>
          </cell>
          <cell r="J3677">
            <v>9507300</v>
          </cell>
          <cell r="K3677">
            <v>6276</v>
          </cell>
        </row>
        <row r="3678">
          <cell r="A3678" t="str">
            <v>Q2'2025</v>
          </cell>
          <cell r="B3678" t="str">
            <v>Mohamed Mostafa</v>
          </cell>
          <cell r="E3678" t="str">
            <v>LE</v>
          </cell>
          <cell r="F3678" t="str">
            <v>AM</v>
          </cell>
          <cell r="H3678">
            <v>500</v>
          </cell>
          <cell r="I3678">
            <v>65440</v>
          </cell>
          <cell r="J3678">
            <v>7922750</v>
          </cell>
          <cell r="K3678">
            <v>6276</v>
          </cell>
        </row>
        <row r="3679">
          <cell r="A3679" t="str">
            <v>Q2'2025</v>
          </cell>
          <cell r="B3679" t="str">
            <v>Mushahid Hussain Syed</v>
          </cell>
          <cell r="E3679" t="str">
            <v>LE</v>
          </cell>
          <cell r="F3679" t="str">
            <v>AM</v>
          </cell>
          <cell r="H3679">
            <v>1500</v>
          </cell>
          <cell r="I3679">
            <v>65440</v>
          </cell>
          <cell r="J3679">
            <v>9507300</v>
          </cell>
          <cell r="K3679">
            <v>6276</v>
          </cell>
        </row>
        <row r="3680">
          <cell r="A3680" t="str">
            <v>Q2'2025</v>
          </cell>
          <cell r="B3680" t="str">
            <v>Peter Sedrak</v>
          </cell>
          <cell r="E3680" t="str">
            <v>LE</v>
          </cell>
          <cell r="F3680" t="str">
            <v>AM</v>
          </cell>
          <cell r="H3680">
            <v>3000</v>
          </cell>
          <cell r="I3680">
            <v>65440</v>
          </cell>
          <cell r="J3680">
            <v>8715025</v>
          </cell>
          <cell r="K3680">
            <v>6276</v>
          </cell>
        </row>
        <row r="3681">
          <cell r="A3681" t="str">
            <v>Q2'2025</v>
          </cell>
          <cell r="B3681" t="str">
            <v>Ramy Abdel Fattah</v>
          </cell>
          <cell r="E3681" t="str">
            <v>LE</v>
          </cell>
          <cell r="F3681" t="str">
            <v>AM</v>
          </cell>
          <cell r="H3681">
            <v>1000</v>
          </cell>
          <cell r="I3681">
            <v>75000</v>
          </cell>
          <cell r="J3681">
            <v>9507300</v>
          </cell>
          <cell r="K3681">
            <v>6278</v>
          </cell>
        </row>
        <row r="3682">
          <cell r="A3682" t="str">
            <v>Q2'2025</v>
          </cell>
          <cell r="B3682" t="str">
            <v>Shabbir Lacewala</v>
          </cell>
          <cell r="E3682" t="str">
            <v>LE</v>
          </cell>
          <cell r="F3682" t="str">
            <v>AM</v>
          </cell>
          <cell r="H3682">
            <v>350</v>
          </cell>
          <cell r="I3682">
            <v>65444</v>
          </cell>
          <cell r="J3682">
            <v>12676400</v>
          </cell>
          <cell r="K3682">
            <v>6276</v>
          </cell>
        </row>
        <row r="3683">
          <cell r="A3683" t="str">
            <v>Q2'2025</v>
          </cell>
          <cell r="B3683" t="str">
            <v>Muhammad Shahzad Hasan</v>
          </cell>
          <cell r="E3683" t="str">
            <v>LE</v>
          </cell>
          <cell r="F3683" t="str">
            <v>D</v>
          </cell>
          <cell r="H3683">
            <v>8000</v>
          </cell>
          <cell r="I3683">
            <v>533086</v>
          </cell>
          <cell r="J3683">
            <v>79227500</v>
          </cell>
          <cell r="K3683">
            <v>50210</v>
          </cell>
        </row>
        <row r="3684">
          <cell r="A3684" t="str">
            <v>Q3'2025</v>
          </cell>
          <cell r="B3684" t="str">
            <v>Ammar Alqudsi</v>
          </cell>
          <cell r="E3684" t="str">
            <v>AUH</v>
          </cell>
          <cell r="F3684" t="str">
            <v>AM</v>
          </cell>
          <cell r="H3684">
            <v>850</v>
          </cell>
          <cell r="I3684">
            <v>99000</v>
          </cell>
          <cell r="J3684">
            <v>11000000</v>
          </cell>
          <cell r="K3684">
            <v>7000</v>
          </cell>
        </row>
        <row r="3685">
          <cell r="A3685" t="str">
            <v>Q3'2025</v>
          </cell>
          <cell r="B3685" t="str">
            <v>Muhammad Nauman Khan</v>
          </cell>
          <cell r="E3685" t="str">
            <v>AUH</v>
          </cell>
          <cell r="F3685" t="str">
            <v>AM</v>
          </cell>
          <cell r="H3685">
            <v>900</v>
          </cell>
          <cell r="I3685">
            <v>108000</v>
          </cell>
          <cell r="J3685">
            <v>12000000</v>
          </cell>
          <cell r="K3685">
            <v>4000</v>
          </cell>
        </row>
        <row r="3686">
          <cell r="A3686" t="str">
            <v>Q3'2025</v>
          </cell>
          <cell r="B3686" t="str">
            <v>Omar AlHammadi</v>
          </cell>
          <cell r="E3686" t="str">
            <v>AUH</v>
          </cell>
          <cell r="F3686" t="str">
            <v>AM</v>
          </cell>
          <cell r="H3686">
            <v>900</v>
          </cell>
          <cell r="I3686">
            <v>100000</v>
          </cell>
          <cell r="J3686">
            <v>12000000</v>
          </cell>
          <cell r="K3686">
            <v>4000</v>
          </cell>
        </row>
        <row r="3687">
          <cell r="A3687" t="str">
            <v>Q3'2025</v>
          </cell>
          <cell r="B3687" t="str">
            <v>Tarek Solh</v>
          </cell>
          <cell r="E3687" t="str">
            <v>AUH</v>
          </cell>
          <cell r="F3687" t="str">
            <v>AM</v>
          </cell>
          <cell r="H3687">
            <v>1000</v>
          </cell>
          <cell r="I3687">
            <v>119000</v>
          </cell>
          <cell r="J3687">
            <v>22224000</v>
          </cell>
          <cell r="K3687">
            <v>5000</v>
          </cell>
        </row>
        <row r="3688">
          <cell r="A3688" t="str">
            <v>Q3'2025</v>
          </cell>
          <cell r="B3688" t="str">
            <v>Khadija Salem</v>
          </cell>
          <cell r="E3688" t="str">
            <v>AUH</v>
          </cell>
          <cell r="F3688" t="str">
            <v>AM</v>
          </cell>
          <cell r="H3688">
            <v>250</v>
          </cell>
          <cell r="I3688">
            <v>80200</v>
          </cell>
          <cell r="J3688">
            <v>7500000</v>
          </cell>
          <cell r="K3688">
            <v>3500</v>
          </cell>
        </row>
        <row r="3689">
          <cell r="A3689" t="str">
            <v>Q3'2025</v>
          </cell>
          <cell r="B3689" t="str">
            <v>Abdulla Hussain</v>
          </cell>
          <cell r="E3689" t="str">
            <v>AUH</v>
          </cell>
          <cell r="F3689" t="str">
            <v>AM</v>
          </cell>
          <cell r="H3689">
            <v>250</v>
          </cell>
          <cell r="I3689">
            <v>80200</v>
          </cell>
          <cell r="J3689">
            <v>7500000</v>
          </cell>
          <cell r="K3689">
            <v>3500</v>
          </cell>
        </row>
        <row r="3690">
          <cell r="A3690" t="str">
            <v>Q3'2025</v>
          </cell>
          <cell r="B3690" t="str">
            <v>Osman Basuleman</v>
          </cell>
          <cell r="E3690" t="str">
            <v>AUH</v>
          </cell>
          <cell r="F3690" t="str">
            <v>AM</v>
          </cell>
          <cell r="H3690">
            <v>356</v>
          </cell>
          <cell r="I3690">
            <v>80534</v>
          </cell>
          <cell r="J3690">
            <v>8000000</v>
          </cell>
          <cell r="K3690">
            <v>5680</v>
          </cell>
        </row>
        <row r="3691">
          <cell r="A3691" t="str">
            <v>Q3'2025</v>
          </cell>
          <cell r="B3691" t="str">
            <v>Khalid Karmastaji</v>
          </cell>
          <cell r="E3691" t="str">
            <v>AUH</v>
          </cell>
          <cell r="F3691" t="str">
            <v>D</v>
          </cell>
          <cell r="H3691">
            <v>4506</v>
          </cell>
          <cell r="I3691">
            <v>666934</v>
          </cell>
          <cell r="J3691">
            <v>80224000</v>
          </cell>
          <cell r="K3691">
            <v>32680</v>
          </cell>
        </row>
        <row r="3692">
          <cell r="A3692" t="str">
            <v>Q3'2025</v>
          </cell>
          <cell r="B3692" t="str">
            <v>Humaid Al Ali</v>
          </cell>
          <cell r="E3692" t="str">
            <v>DXB</v>
          </cell>
          <cell r="F3692" t="str">
            <v>AM</v>
          </cell>
          <cell r="H3692">
            <v>950</v>
          </cell>
          <cell r="I3692">
            <v>145000</v>
          </cell>
          <cell r="J3692">
            <v>22980000</v>
          </cell>
          <cell r="K3692">
            <v>8000</v>
          </cell>
        </row>
        <row r="3693">
          <cell r="A3693" t="str">
            <v>Q3'2025</v>
          </cell>
          <cell r="B3693" t="str">
            <v>Mohamed Mady</v>
          </cell>
          <cell r="E3693" t="str">
            <v>DXB</v>
          </cell>
          <cell r="F3693" t="str">
            <v>AM</v>
          </cell>
          <cell r="H3693">
            <v>672</v>
          </cell>
          <cell r="I3693">
            <v>69041</v>
          </cell>
          <cell r="J3693">
            <v>7100000</v>
          </cell>
          <cell r="K3693">
            <v>7470</v>
          </cell>
        </row>
        <row r="3694">
          <cell r="A3694" t="str">
            <v>Q3'2025</v>
          </cell>
          <cell r="B3694" t="str">
            <v>Maen Okour</v>
          </cell>
          <cell r="E3694" t="str">
            <v>DXB</v>
          </cell>
          <cell r="F3694" t="str">
            <v>AM</v>
          </cell>
          <cell r="H3694" t="str">
            <v/>
          </cell>
          <cell r="I3694">
            <v>0</v>
          </cell>
          <cell r="J3694">
            <v>22520000</v>
          </cell>
          <cell r="K3694">
            <v>0</v>
          </cell>
        </row>
        <row r="3695">
          <cell r="A3695" t="str">
            <v>Q3'2025</v>
          </cell>
          <cell r="B3695" t="str">
            <v>Muhannad Allow</v>
          </cell>
          <cell r="E3695" t="str">
            <v>DXB</v>
          </cell>
          <cell r="F3695" t="str">
            <v>AM</v>
          </cell>
          <cell r="H3695" t="str">
            <v/>
          </cell>
          <cell r="I3695">
            <v>0</v>
          </cell>
          <cell r="J3695">
            <v>10400000</v>
          </cell>
          <cell r="K3695">
            <v>0</v>
          </cell>
        </row>
        <row r="3696">
          <cell r="A3696" t="str">
            <v>Q3'2025</v>
          </cell>
          <cell r="B3696" t="str">
            <v>Ramzi Gholmieh</v>
          </cell>
          <cell r="E3696" t="str">
            <v>DXB</v>
          </cell>
          <cell r="F3696" t="str">
            <v>AM</v>
          </cell>
          <cell r="H3696">
            <v>950</v>
          </cell>
          <cell r="I3696">
            <v>145000</v>
          </cell>
          <cell r="J3696">
            <v>14189000</v>
          </cell>
          <cell r="K3696">
            <v>8000</v>
          </cell>
        </row>
        <row r="3697">
          <cell r="A3697" t="str">
            <v>Q3'2025</v>
          </cell>
          <cell r="B3697" t="str">
            <v>Talal Ahmed Ali Alsharhan</v>
          </cell>
          <cell r="E3697" t="str">
            <v>DXB</v>
          </cell>
          <cell r="F3697" t="str">
            <v>AM</v>
          </cell>
          <cell r="H3697">
            <v>2300</v>
          </cell>
          <cell r="I3697">
            <v>145000</v>
          </cell>
          <cell r="J3697">
            <v>14920000</v>
          </cell>
          <cell r="K3697">
            <v>8000</v>
          </cell>
        </row>
        <row r="3698">
          <cell r="A3698" t="str">
            <v>Q3'2025</v>
          </cell>
          <cell r="B3698" t="str">
            <v>Mohamad Amer Sibai</v>
          </cell>
          <cell r="E3698" t="str">
            <v>DXB</v>
          </cell>
          <cell r="F3698" t="str">
            <v>D</v>
          </cell>
          <cell r="H3698">
            <v>4872</v>
          </cell>
          <cell r="I3698">
            <v>504041</v>
          </cell>
          <cell r="J3698">
            <v>92109000</v>
          </cell>
          <cell r="K3698">
            <v>31470</v>
          </cell>
        </row>
        <row r="3699">
          <cell r="A3699" t="str">
            <v>Q3'2025</v>
          </cell>
          <cell r="B3699" t="str">
            <v>Bader Al Shehhi</v>
          </cell>
          <cell r="E3699" t="str">
            <v>F-NE</v>
          </cell>
          <cell r="F3699" t="str">
            <v>AM</v>
          </cell>
          <cell r="H3699">
            <v>820</v>
          </cell>
          <cell r="I3699">
            <v>35001</v>
          </cell>
          <cell r="J3699">
            <v>7630029</v>
          </cell>
          <cell r="K3699">
            <v>500</v>
          </cell>
        </row>
        <row r="3700">
          <cell r="A3700" t="str">
            <v>Q3'2025</v>
          </cell>
          <cell r="B3700" t="str">
            <v>Bashar Al Adilee</v>
          </cell>
          <cell r="E3700" t="str">
            <v>F-NE</v>
          </cell>
          <cell r="F3700" t="str">
            <v>AM</v>
          </cell>
          <cell r="H3700">
            <v>2750</v>
          </cell>
          <cell r="I3700">
            <v>73500</v>
          </cell>
          <cell r="J3700">
            <v>16174117</v>
          </cell>
          <cell r="K3700">
            <v>21400</v>
          </cell>
        </row>
        <row r="3701">
          <cell r="A3701" t="str">
            <v>Q3'2025</v>
          </cell>
          <cell r="B3701" t="str">
            <v>Majd Nairoukh</v>
          </cell>
          <cell r="E3701" t="str">
            <v>F-NE</v>
          </cell>
          <cell r="F3701" t="str">
            <v>AM</v>
          </cell>
          <cell r="H3701">
            <v>2300</v>
          </cell>
          <cell r="I3701">
            <v>35010</v>
          </cell>
          <cell r="J3701">
            <v>15859538</v>
          </cell>
          <cell r="K3701">
            <v>500</v>
          </cell>
        </row>
        <row r="3702">
          <cell r="A3702" t="str">
            <v>Q3'2025</v>
          </cell>
          <cell r="B3702" t="str">
            <v>Nader AlMustafa</v>
          </cell>
          <cell r="E3702" t="str">
            <v>F-NE</v>
          </cell>
          <cell r="F3702" t="str">
            <v>AM</v>
          </cell>
          <cell r="H3702">
            <v>2200</v>
          </cell>
          <cell r="I3702">
            <v>35010</v>
          </cell>
          <cell r="J3702">
            <v>16028698</v>
          </cell>
          <cell r="K3702">
            <v>500</v>
          </cell>
        </row>
        <row r="3703">
          <cell r="A3703" t="str">
            <v>Q3'2025</v>
          </cell>
          <cell r="B3703" t="str">
            <v>Yousef Al Baloushi</v>
          </cell>
          <cell r="E3703" t="str">
            <v>F-NE</v>
          </cell>
          <cell r="F3703" t="str">
            <v>AM</v>
          </cell>
          <cell r="H3703">
            <v>2750</v>
          </cell>
          <cell r="I3703">
            <v>73500</v>
          </cell>
          <cell r="J3703">
            <v>18886618</v>
          </cell>
          <cell r="K3703">
            <v>5500</v>
          </cell>
        </row>
        <row r="3704">
          <cell r="A3704" t="str">
            <v>Q3'2025</v>
          </cell>
          <cell r="B3704" t="str">
            <v>Khaled Alawadi</v>
          </cell>
          <cell r="E3704" t="str">
            <v>F-NE</v>
          </cell>
          <cell r="F3704" t="str">
            <v>D</v>
          </cell>
          <cell r="H3704">
            <v>10820</v>
          </cell>
          <cell r="I3704">
            <v>252021</v>
          </cell>
          <cell r="J3704">
            <v>74579000</v>
          </cell>
          <cell r="K3704">
            <v>28400</v>
          </cell>
        </row>
        <row r="3705">
          <cell r="A3705" t="str">
            <v>Q3'2025</v>
          </cell>
          <cell r="B3705" t="str">
            <v>Adnan Bashir</v>
          </cell>
          <cell r="E3705" t="str">
            <v>HUNT</v>
          </cell>
          <cell r="F3705" t="str">
            <v>AM</v>
          </cell>
          <cell r="H3705">
            <v>469</v>
          </cell>
          <cell r="I3705">
            <v>54384</v>
          </cell>
          <cell r="J3705">
            <v>5857978</v>
          </cell>
          <cell r="K3705">
            <v>5512</v>
          </cell>
        </row>
        <row r="3706">
          <cell r="A3706" t="str">
            <v>Q3'2025</v>
          </cell>
          <cell r="B3706" t="str">
            <v>Ahmed Shaddad</v>
          </cell>
          <cell r="E3706" t="str">
            <v>HUNT</v>
          </cell>
          <cell r="F3706" t="str">
            <v>AM</v>
          </cell>
          <cell r="H3706">
            <v>469</v>
          </cell>
          <cell r="I3706">
            <v>54384</v>
          </cell>
          <cell r="J3706">
            <v>5290113</v>
          </cell>
          <cell r="K3706">
            <v>5512</v>
          </cell>
        </row>
        <row r="3707">
          <cell r="A3707" t="str">
            <v>Q3'2025</v>
          </cell>
          <cell r="B3707" t="str">
            <v>Favas Kurinhilayil</v>
          </cell>
          <cell r="E3707" t="str">
            <v>HUNT</v>
          </cell>
          <cell r="F3707" t="str">
            <v>AM</v>
          </cell>
          <cell r="H3707">
            <v>468</v>
          </cell>
          <cell r="I3707">
            <v>54384</v>
          </cell>
          <cell r="J3707">
            <v>6694832</v>
          </cell>
          <cell r="K3707">
            <v>5512</v>
          </cell>
        </row>
        <row r="3708">
          <cell r="A3708" t="str">
            <v>Q3'2025</v>
          </cell>
          <cell r="B3708" t="str">
            <v>Ranjith Chandran</v>
          </cell>
          <cell r="E3708" t="str">
            <v>HUNT</v>
          </cell>
          <cell r="F3708" t="str">
            <v>AM</v>
          </cell>
          <cell r="H3708">
            <v>468</v>
          </cell>
          <cell r="I3708">
            <v>54381</v>
          </cell>
          <cell r="J3708">
            <v>4545908</v>
          </cell>
          <cell r="K3708">
            <v>5512</v>
          </cell>
        </row>
        <row r="3709">
          <cell r="A3709" t="str">
            <v>Q3'2025</v>
          </cell>
          <cell r="B3709" t="str">
            <v>Othman Hassan</v>
          </cell>
          <cell r="E3709" t="str">
            <v>HUNT</v>
          </cell>
          <cell r="F3709" t="str">
            <v>AM</v>
          </cell>
          <cell r="H3709">
            <v>468</v>
          </cell>
          <cell r="I3709">
            <v>54384</v>
          </cell>
          <cell r="J3709">
            <v>5541169</v>
          </cell>
          <cell r="K3709">
            <v>5512</v>
          </cell>
        </row>
        <row r="3710">
          <cell r="A3710" t="str">
            <v>Q3'2025</v>
          </cell>
          <cell r="B3710" t="str">
            <v>Mohamed AlZarooni</v>
          </cell>
          <cell r="E3710" t="str">
            <v>HUNT</v>
          </cell>
          <cell r="F3710" t="str">
            <v>D</v>
          </cell>
          <cell r="H3710">
            <v>2342</v>
          </cell>
          <cell r="I3710">
            <v>271917</v>
          </cell>
          <cell r="J3710">
            <v>27930000</v>
          </cell>
          <cell r="K3710">
            <v>27560</v>
          </cell>
        </row>
        <row r="3711">
          <cell r="A3711" t="str">
            <v>Q3'2025</v>
          </cell>
          <cell r="B3711" t="str">
            <v>Amjad Ilwan</v>
          </cell>
          <cell r="E3711" t="str">
            <v>KEY-A</v>
          </cell>
          <cell r="F3711" t="str">
            <v>AM</v>
          </cell>
          <cell r="H3711">
            <v>372</v>
          </cell>
          <cell r="I3711">
            <v>40000</v>
          </cell>
          <cell r="J3711">
            <v>12279478</v>
          </cell>
          <cell r="K3711">
            <v>11748</v>
          </cell>
        </row>
        <row r="3712">
          <cell r="A3712" t="str">
            <v>Q3'2025</v>
          </cell>
          <cell r="B3712" t="str">
            <v>Ahemar Khan</v>
          </cell>
          <cell r="E3712" t="str">
            <v>KEY-A</v>
          </cell>
          <cell r="F3712" t="str">
            <v>AM</v>
          </cell>
          <cell r="H3712" t="str">
            <v/>
          </cell>
          <cell r="I3712">
            <v>0</v>
          </cell>
          <cell r="J3712">
            <v>35646124</v>
          </cell>
          <cell r="K3712">
            <v>0</v>
          </cell>
        </row>
        <row r="3713">
          <cell r="A3713" t="str">
            <v>Q3'2025</v>
          </cell>
          <cell r="B3713" t="str">
            <v>Fadi Saleh</v>
          </cell>
          <cell r="E3713" t="str">
            <v>KEY-A</v>
          </cell>
          <cell r="F3713" t="str">
            <v>AM</v>
          </cell>
          <cell r="H3713" t="str">
            <v/>
          </cell>
          <cell r="I3713">
            <v>0</v>
          </cell>
          <cell r="J3713">
            <v>19980103</v>
          </cell>
          <cell r="K3713">
            <v>0</v>
          </cell>
        </row>
        <row r="3714">
          <cell r="A3714" t="str">
            <v>Q3'2025</v>
          </cell>
          <cell r="B3714" t="str">
            <v>Ninette Hajjar</v>
          </cell>
          <cell r="E3714" t="str">
            <v>KEY-A</v>
          </cell>
          <cell r="F3714" t="str">
            <v>AM</v>
          </cell>
          <cell r="H3714" t="str">
            <v/>
          </cell>
          <cell r="I3714">
            <v>0</v>
          </cell>
          <cell r="J3714">
            <v>15423229</v>
          </cell>
          <cell r="K3714">
            <v>0</v>
          </cell>
        </row>
        <row r="3715">
          <cell r="A3715" t="str">
            <v>Q3'2025</v>
          </cell>
          <cell r="B3715" t="str">
            <v>Rijith Menon</v>
          </cell>
          <cell r="E3715" t="str">
            <v>KEY-A</v>
          </cell>
          <cell r="F3715" t="str">
            <v>AM</v>
          </cell>
          <cell r="H3715">
            <v>372</v>
          </cell>
          <cell r="I3715">
            <v>60000</v>
          </cell>
          <cell r="J3715">
            <v>17052472</v>
          </cell>
          <cell r="K3715">
            <v>13748</v>
          </cell>
        </row>
        <row r="3716">
          <cell r="A3716" t="str">
            <v>Q3'2025</v>
          </cell>
          <cell r="B3716" t="str">
            <v>Suleiman Wanni</v>
          </cell>
          <cell r="E3716" t="str">
            <v>KEY-A</v>
          </cell>
          <cell r="F3716" t="str">
            <v>AM</v>
          </cell>
          <cell r="H3716">
            <v>372</v>
          </cell>
          <cell r="I3716">
            <v>60000</v>
          </cell>
          <cell r="J3716">
            <v>10691519</v>
          </cell>
          <cell r="K3716">
            <v>14748</v>
          </cell>
        </row>
        <row r="3717">
          <cell r="A3717" t="str">
            <v>Q3'2025</v>
          </cell>
          <cell r="B3717" t="str">
            <v>Waseem Suhaf</v>
          </cell>
          <cell r="E3717" t="str">
            <v>KEY-A</v>
          </cell>
          <cell r="F3717" t="str">
            <v>AM</v>
          </cell>
          <cell r="H3717">
            <v>372</v>
          </cell>
          <cell r="I3717">
            <v>150000</v>
          </cell>
          <cell r="J3717">
            <v>16097075</v>
          </cell>
          <cell r="K3717">
            <v>10748</v>
          </cell>
        </row>
        <row r="3718">
          <cell r="A3718" t="str">
            <v>Q3'2025</v>
          </cell>
          <cell r="B3718" t="str">
            <v>Hany Jawee</v>
          </cell>
          <cell r="E3718" t="str">
            <v>KEY-A</v>
          </cell>
          <cell r="F3718" t="str">
            <v>D</v>
          </cell>
          <cell r="H3718">
            <v>1488</v>
          </cell>
          <cell r="I3718">
            <v>2600000</v>
          </cell>
          <cell r="J3718">
            <v>127170000</v>
          </cell>
          <cell r="K3718">
            <v>50992</v>
          </cell>
        </row>
        <row r="3719">
          <cell r="A3719" t="str">
            <v>Q3'2025</v>
          </cell>
          <cell r="B3719" t="str">
            <v>Abdel Azim Sharabati</v>
          </cell>
          <cell r="E3719" t="str">
            <v>KEY-B</v>
          </cell>
          <cell r="F3719" t="str">
            <v>AM</v>
          </cell>
          <cell r="H3719">
            <v>100</v>
          </cell>
          <cell r="I3719">
            <v>145000</v>
          </cell>
          <cell r="J3719">
            <v>13801607</v>
          </cell>
          <cell r="K3719">
            <v>6000</v>
          </cell>
        </row>
        <row r="3720">
          <cell r="A3720" t="str">
            <v>Q3'2025</v>
          </cell>
          <cell r="B3720" t="str">
            <v>Abraham Cherian</v>
          </cell>
          <cell r="E3720" t="str">
            <v>KEY-B</v>
          </cell>
          <cell r="F3720" t="str">
            <v>AM</v>
          </cell>
          <cell r="H3720">
            <v>120</v>
          </cell>
          <cell r="I3720">
            <v>115000</v>
          </cell>
          <cell r="J3720">
            <v>34676570</v>
          </cell>
          <cell r="K3720">
            <v>8079</v>
          </cell>
        </row>
        <row r="3721">
          <cell r="A3721" t="str">
            <v>Q3'2025</v>
          </cell>
          <cell r="B3721" t="str">
            <v>Arjun Subaraman</v>
          </cell>
          <cell r="E3721" t="str">
            <v>KEY-B</v>
          </cell>
          <cell r="F3721" t="str">
            <v>AM</v>
          </cell>
          <cell r="H3721">
            <v>100</v>
          </cell>
          <cell r="I3721">
            <v>180000</v>
          </cell>
          <cell r="J3721">
            <v>11114466</v>
          </cell>
          <cell r="K3721">
            <v>8079</v>
          </cell>
        </row>
        <row r="3722">
          <cell r="A3722" t="str">
            <v>Q3'2025</v>
          </cell>
          <cell r="B3722" t="str">
            <v>Ehab Hajou</v>
          </cell>
          <cell r="E3722" t="str">
            <v>KEY-B</v>
          </cell>
          <cell r="F3722" t="str">
            <v>AM</v>
          </cell>
          <cell r="H3722">
            <v>70</v>
          </cell>
          <cell r="I3722">
            <v>175000</v>
          </cell>
          <cell r="J3722">
            <v>8369021</v>
          </cell>
          <cell r="K3722">
            <v>8077</v>
          </cell>
        </row>
        <row r="3723">
          <cell r="A3723" t="str">
            <v>Q3'2025</v>
          </cell>
          <cell r="B3723" t="str">
            <v>Ghassan Fouany</v>
          </cell>
          <cell r="E3723" t="str">
            <v>KEY-B</v>
          </cell>
          <cell r="F3723" t="str">
            <v>AM</v>
          </cell>
          <cell r="H3723">
            <v>110</v>
          </cell>
          <cell r="I3723">
            <v>35000</v>
          </cell>
          <cell r="J3723">
            <v>8618607</v>
          </cell>
          <cell r="K3723">
            <v>8079</v>
          </cell>
        </row>
        <row r="3724">
          <cell r="A3724" t="str">
            <v>Q3'2025</v>
          </cell>
          <cell r="B3724" t="str">
            <v>Inayat Fazili</v>
          </cell>
          <cell r="E3724" t="str">
            <v>KEY-B</v>
          </cell>
          <cell r="F3724" t="str">
            <v>AM</v>
          </cell>
          <cell r="H3724">
            <v>150</v>
          </cell>
          <cell r="I3724">
            <v>40000</v>
          </cell>
          <cell r="J3724">
            <v>13947101</v>
          </cell>
          <cell r="K3724">
            <v>8079</v>
          </cell>
        </row>
        <row r="3725">
          <cell r="A3725" t="str">
            <v>Q3'2025</v>
          </cell>
          <cell r="B3725" t="str">
            <v>Mohamad Labban</v>
          </cell>
          <cell r="E3725" t="str">
            <v>KEY-B</v>
          </cell>
          <cell r="F3725" t="str">
            <v>AM</v>
          </cell>
          <cell r="H3725">
            <v>130</v>
          </cell>
          <cell r="I3725">
            <v>43000</v>
          </cell>
          <cell r="J3725">
            <v>13697101</v>
          </cell>
          <cell r="K3725">
            <v>8079</v>
          </cell>
        </row>
        <row r="3726">
          <cell r="A3726" t="str">
            <v>Q3'2025</v>
          </cell>
          <cell r="B3726" t="str">
            <v>Mostafa Mekawy</v>
          </cell>
          <cell r="E3726" t="str">
            <v>KEY-B</v>
          </cell>
          <cell r="F3726" t="str">
            <v>AM</v>
          </cell>
          <cell r="H3726">
            <v>120</v>
          </cell>
          <cell r="I3726">
            <v>60000</v>
          </cell>
          <cell r="J3726">
            <v>14666147</v>
          </cell>
          <cell r="K3726">
            <v>8079</v>
          </cell>
        </row>
        <row r="3727">
          <cell r="A3727" t="str">
            <v>Q3'2025</v>
          </cell>
          <cell r="B3727" t="str">
            <v>Nadeem Rasheed</v>
          </cell>
          <cell r="E3727" t="str">
            <v>KEY-B</v>
          </cell>
          <cell r="F3727" t="str">
            <v>AM</v>
          </cell>
          <cell r="H3727">
            <v>100</v>
          </cell>
          <cell r="I3727">
            <v>42646</v>
          </cell>
          <cell r="J3727">
            <v>10656380</v>
          </cell>
          <cell r="K3727">
            <v>8079</v>
          </cell>
        </row>
        <row r="3728">
          <cell r="A3728" t="str">
            <v>Q3'2025</v>
          </cell>
          <cell r="B3728" t="str">
            <v>Mazen Adem</v>
          </cell>
          <cell r="E3728" t="str">
            <v>KEY-B</v>
          </cell>
          <cell r="F3728" t="str">
            <v>D</v>
          </cell>
          <cell r="H3728">
            <v>1000</v>
          </cell>
          <cell r="I3728">
            <v>835646</v>
          </cell>
          <cell r="J3728">
            <v>129547000</v>
          </cell>
          <cell r="K3728">
            <v>70630</v>
          </cell>
        </row>
        <row r="3729">
          <cell r="A3729" t="str">
            <v>Q3'2025</v>
          </cell>
          <cell r="B3729" t="str">
            <v>Ahmad Ozdamir</v>
          </cell>
          <cell r="E3729" t="str">
            <v>LE</v>
          </cell>
          <cell r="F3729" t="str">
            <v>AM</v>
          </cell>
          <cell r="H3729">
            <v>612</v>
          </cell>
          <cell r="I3729">
            <v>66804</v>
          </cell>
          <cell r="J3729">
            <v>9447000</v>
          </cell>
          <cell r="K3729">
            <v>8776</v>
          </cell>
        </row>
        <row r="3730">
          <cell r="A3730" t="str">
            <v>Q3'2025</v>
          </cell>
          <cell r="B3730" t="str">
            <v>Eslam Hassan</v>
          </cell>
          <cell r="E3730" t="str">
            <v>LE</v>
          </cell>
          <cell r="F3730" t="str">
            <v>AM</v>
          </cell>
          <cell r="H3730">
            <v>612</v>
          </cell>
          <cell r="I3730">
            <v>66804</v>
          </cell>
          <cell r="J3730">
            <v>10440000</v>
          </cell>
          <cell r="K3730">
            <v>8776</v>
          </cell>
        </row>
        <row r="3731">
          <cell r="A3731" t="str">
            <v>Q3'2025</v>
          </cell>
          <cell r="B3731" t="str">
            <v>Khaled Abdelaziz</v>
          </cell>
          <cell r="E3731" t="str">
            <v>LE</v>
          </cell>
          <cell r="F3731" t="str">
            <v>AM</v>
          </cell>
          <cell r="H3731">
            <v>612</v>
          </cell>
          <cell r="I3731">
            <v>66804</v>
          </cell>
          <cell r="J3731">
            <v>9204000</v>
          </cell>
          <cell r="K3731">
            <v>8776</v>
          </cell>
        </row>
        <row r="3732">
          <cell r="A3732" t="str">
            <v>Q3'2025</v>
          </cell>
          <cell r="B3732" t="str">
            <v>Mohamed Mostafa</v>
          </cell>
          <cell r="E3732" t="str">
            <v>LE</v>
          </cell>
          <cell r="F3732" t="str">
            <v>AM</v>
          </cell>
          <cell r="H3732">
            <v>612</v>
          </cell>
          <cell r="I3732">
            <v>66804</v>
          </cell>
          <cell r="J3732">
            <v>8757000</v>
          </cell>
          <cell r="K3732">
            <v>8776</v>
          </cell>
        </row>
        <row r="3733">
          <cell r="A3733" t="str">
            <v>Q3'2025</v>
          </cell>
          <cell r="B3733" t="str">
            <v>Mushahid Hussain Syed</v>
          </cell>
          <cell r="E3733" t="str">
            <v>LE</v>
          </cell>
          <cell r="F3733" t="str">
            <v>AM</v>
          </cell>
          <cell r="H3733">
            <v>612</v>
          </cell>
          <cell r="I3733">
            <v>80000</v>
          </cell>
          <cell r="J3733">
            <v>10080000</v>
          </cell>
          <cell r="K3733">
            <v>6000</v>
          </cell>
        </row>
        <row r="3734">
          <cell r="A3734" t="str">
            <v>Q3'2025</v>
          </cell>
          <cell r="B3734" t="str">
            <v>Peter Sedrak</v>
          </cell>
          <cell r="E3734" t="str">
            <v>LE</v>
          </cell>
          <cell r="F3734" t="str">
            <v>AM</v>
          </cell>
          <cell r="H3734">
            <v>2000</v>
          </cell>
          <cell r="I3734">
            <v>66804</v>
          </cell>
          <cell r="J3734">
            <v>8871000</v>
          </cell>
          <cell r="K3734">
            <v>6000</v>
          </cell>
        </row>
        <row r="3735">
          <cell r="A3735" t="str">
            <v>Q3'2025</v>
          </cell>
          <cell r="B3735" t="str">
            <v>Ramy Abdel Fattah</v>
          </cell>
          <cell r="E3735" t="str">
            <v>LE</v>
          </cell>
          <cell r="F3735" t="str">
            <v>AM</v>
          </cell>
          <cell r="H3735">
            <v>2000</v>
          </cell>
          <cell r="I3735">
            <v>92617</v>
          </cell>
          <cell r="J3735">
            <v>9039000</v>
          </cell>
          <cell r="K3735">
            <v>6000</v>
          </cell>
        </row>
        <row r="3736">
          <cell r="A3736" t="str">
            <v>Q3'2025</v>
          </cell>
          <cell r="B3736" t="str">
            <v>Shabbir Lacewala</v>
          </cell>
          <cell r="E3736" t="str">
            <v>LE</v>
          </cell>
          <cell r="F3736" t="str">
            <v>AM</v>
          </cell>
          <cell r="H3736">
            <v>612</v>
          </cell>
          <cell r="I3736">
            <v>66804</v>
          </cell>
          <cell r="J3736">
            <v>12603000</v>
          </cell>
          <cell r="K3736">
            <v>8776</v>
          </cell>
        </row>
        <row r="3737">
          <cell r="A3737" t="str">
            <v>Q3'2025</v>
          </cell>
          <cell r="B3737" t="str">
            <v>Muhammad Shahzad Hasan</v>
          </cell>
          <cell r="E3737" t="str">
            <v>LE</v>
          </cell>
          <cell r="F3737" t="str">
            <v>D</v>
          </cell>
          <cell r="H3737">
            <v>7672</v>
          </cell>
          <cell r="I3737">
            <v>573441</v>
          </cell>
          <cell r="J3737">
            <v>78441000</v>
          </cell>
          <cell r="K3737">
            <v>61880</v>
          </cell>
        </row>
        <row r="3738">
          <cell r="A3738" t="str">
            <v>Q4'2025</v>
          </cell>
          <cell r="B3738" t="str">
            <v>Abdulla Hussain</v>
          </cell>
          <cell r="E3738" t="str">
            <v>AUH</v>
          </cell>
          <cell r="F3738" t="str">
            <v>AM</v>
          </cell>
          <cell r="H3738">
            <v>580</v>
          </cell>
          <cell r="I3738">
            <v>78000</v>
          </cell>
          <cell r="J3738">
            <v>8500000</v>
          </cell>
          <cell r="K3738">
            <v>5810</v>
          </cell>
        </row>
        <row r="3739">
          <cell r="A3739" t="str">
            <v>Q4'2025</v>
          </cell>
          <cell r="B3739" t="str">
            <v>Ammar Alqudsi</v>
          </cell>
          <cell r="E3739" t="str">
            <v>AUH</v>
          </cell>
          <cell r="F3739" t="str">
            <v>AM</v>
          </cell>
          <cell r="H3739">
            <v>1150</v>
          </cell>
          <cell r="I3739">
            <v>78000</v>
          </cell>
          <cell r="J3739">
            <v>14800000</v>
          </cell>
          <cell r="K3739">
            <v>9000</v>
          </cell>
        </row>
        <row r="3740">
          <cell r="A3740" t="str">
            <v>Q4'2025</v>
          </cell>
          <cell r="B3740" t="str">
            <v>Khadija Salem</v>
          </cell>
          <cell r="E3740" t="str">
            <v>AUH</v>
          </cell>
          <cell r="F3740" t="str">
            <v>AM</v>
          </cell>
          <cell r="H3740">
            <v>570</v>
          </cell>
          <cell r="I3740">
            <v>78000</v>
          </cell>
          <cell r="J3740">
            <v>8100000</v>
          </cell>
          <cell r="K3740">
            <v>5000</v>
          </cell>
        </row>
        <row r="3741">
          <cell r="A3741" t="str">
            <v>Q4'2025</v>
          </cell>
          <cell r="B3741" t="str">
            <v>Muhammad Nauman Khan</v>
          </cell>
          <cell r="E3741" t="str">
            <v>AUH</v>
          </cell>
          <cell r="F3741" t="str">
            <v>AM</v>
          </cell>
          <cell r="H3741">
            <v>1015</v>
          </cell>
          <cell r="I3741">
            <v>86000</v>
          </cell>
          <cell r="J3741">
            <v>13400000</v>
          </cell>
          <cell r="K3741">
            <v>6500</v>
          </cell>
        </row>
        <row r="3742">
          <cell r="A3742" t="str">
            <v>Q4'2025</v>
          </cell>
          <cell r="B3742" t="str">
            <v>Osman Basuleman</v>
          </cell>
          <cell r="E3742" t="str">
            <v>AUH</v>
          </cell>
          <cell r="F3742" t="str">
            <v>AM</v>
          </cell>
          <cell r="H3742">
            <v>600</v>
          </cell>
          <cell r="I3742">
            <v>65000</v>
          </cell>
          <cell r="J3742">
            <v>9200000</v>
          </cell>
          <cell r="K3742">
            <v>5500</v>
          </cell>
        </row>
        <row r="3743">
          <cell r="A3743" t="str">
            <v>Q4'2025</v>
          </cell>
          <cell r="B3743" t="str">
            <v>Tarek Solh</v>
          </cell>
          <cell r="E3743" t="str">
            <v>AUH</v>
          </cell>
          <cell r="F3743" t="str">
            <v>AM</v>
          </cell>
          <cell r="H3743">
            <v>1350</v>
          </cell>
          <cell r="I3743">
            <v>105000</v>
          </cell>
          <cell r="J3743">
            <v>28065207</v>
          </cell>
          <cell r="K3743">
            <v>12000</v>
          </cell>
        </row>
        <row r="3744">
          <cell r="A3744" t="str">
            <v>Q4'2025</v>
          </cell>
          <cell r="B3744" t="str">
            <v>Khalid Karmastaji</v>
          </cell>
          <cell r="E3744" t="str">
            <v>AUH</v>
          </cell>
          <cell r="F3744" t="str">
            <v>D</v>
          </cell>
          <cell r="H3744">
            <v>5265</v>
          </cell>
          <cell r="I3744">
            <v>490000</v>
          </cell>
          <cell r="J3744">
            <v>82065207</v>
          </cell>
          <cell r="K3744">
            <v>43810</v>
          </cell>
        </row>
        <row r="3745">
          <cell r="A3745" t="str">
            <v>Q4'2025</v>
          </cell>
          <cell r="B3745" t="str">
            <v>Humaid Al Ali</v>
          </cell>
          <cell r="E3745" t="str">
            <v>DXB</v>
          </cell>
          <cell r="F3745" t="str">
            <v>AM</v>
          </cell>
          <cell r="H3745">
            <v>1300</v>
          </cell>
          <cell r="I3745">
            <v>120000</v>
          </cell>
          <cell r="J3745">
            <v>27800000</v>
          </cell>
          <cell r="K3745">
            <v>10790</v>
          </cell>
        </row>
        <row r="3746">
          <cell r="A3746" t="str">
            <v>Q4'2025</v>
          </cell>
          <cell r="B3746" t="str">
            <v>Maen Okour</v>
          </cell>
          <cell r="E3746" t="str">
            <v>DXB</v>
          </cell>
          <cell r="F3746" t="str">
            <v>AM</v>
          </cell>
          <cell r="J3746">
            <v>22150000</v>
          </cell>
        </row>
        <row r="3747">
          <cell r="A3747" t="str">
            <v>Q4'2025</v>
          </cell>
          <cell r="B3747" t="str">
            <v>Muhannad Allow</v>
          </cell>
          <cell r="E3747" t="str">
            <v>DXB</v>
          </cell>
          <cell r="F3747" t="str">
            <v>AM</v>
          </cell>
          <cell r="J3747">
            <v>11422977</v>
          </cell>
        </row>
        <row r="3748">
          <cell r="A3748" t="str">
            <v>Q4'2025</v>
          </cell>
          <cell r="B3748" t="str">
            <v>Ramzi Gholmieh</v>
          </cell>
          <cell r="E3748" t="str">
            <v>DXB</v>
          </cell>
          <cell r="F3748" t="str">
            <v>AM</v>
          </cell>
          <cell r="H3748">
            <v>600</v>
          </cell>
          <cell r="I3748">
            <v>80000</v>
          </cell>
          <cell r="J3748">
            <v>15150000</v>
          </cell>
          <cell r="K3748">
            <v>10790</v>
          </cell>
        </row>
        <row r="3749">
          <cell r="A3749" t="str">
            <v>Q4'2025</v>
          </cell>
          <cell r="B3749" t="str">
            <v>Talal Ahmed Ali Alsharhan</v>
          </cell>
          <cell r="E3749" t="str">
            <v>DXB</v>
          </cell>
          <cell r="F3749" t="str">
            <v>AM</v>
          </cell>
          <cell r="H3749">
            <v>2975</v>
          </cell>
          <cell r="I3749">
            <v>50000</v>
          </cell>
          <cell r="J3749">
            <v>17700000</v>
          </cell>
          <cell r="K3749">
            <v>10790</v>
          </cell>
        </row>
        <row r="3750">
          <cell r="A3750" t="str">
            <v>Q4'2025</v>
          </cell>
          <cell r="B3750" t="str">
            <v>Mohamad Amer Sibai</v>
          </cell>
          <cell r="E3750" t="str">
            <v>DXB</v>
          </cell>
          <cell r="F3750" t="str">
            <v>D</v>
          </cell>
          <cell r="H3750">
            <v>4875</v>
          </cell>
          <cell r="I3750">
            <v>250000</v>
          </cell>
          <cell r="J3750">
            <v>94222977</v>
          </cell>
          <cell r="K3750">
            <v>32370</v>
          </cell>
        </row>
        <row r="3751">
          <cell r="A3751" t="str">
            <v>Q4'2025</v>
          </cell>
          <cell r="B3751" t="str">
            <v>Ahmad Alkurdi</v>
          </cell>
          <cell r="E3751" t="str">
            <v>F-NE</v>
          </cell>
          <cell r="F3751" t="str">
            <v>AM</v>
          </cell>
          <cell r="H3751">
            <v>20</v>
          </cell>
          <cell r="I3751">
            <v>2000</v>
          </cell>
          <cell r="J3751">
            <v>272438</v>
          </cell>
          <cell r="K3751">
            <v>570</v>
          </cell>
        </row>
        <row r="3752">
          <cell r="A3752" t="str">
            <v>Q4'2025</v>
          </cell>
          <cell r="B3752" t="str">
            <v>Bader Al Shehhi</v>
          </cell>
          <cell r="E3752" t="str">
            <v>F-NE</v>
          </cell>
          <cell r="F3752" t="str">
            <v>AM</v>
          </cell>
          <cell r="H3752">
            <v>1022</v>
          </cell>
          <cell r="I3752">
            <v>15000</v>
          </cell>
          <cell r="J3752">
            <v>7390966</v>
          </cell>
          <cell r="K3752">
            <v>3000</v>
          </cell>
        </row>
        <row r="3753">
          <cell r="A3753" t="str">
            <v>Q4'2025</v>
          </cell>
          <cell r="B3753" t="str">
            <v>Bashar Al Adilee</v>
          </cell>
          <cell r="E3753" t="str">
            <v>F-NE</v>
          </cell>
          <cell r="F3753" t="str">
            <v>AM</v>
          </cell>
          <cell r="H3753">
            <v>3343</v>
          </cell>
          <cell r="I3753">
            <v>22000</v>
          </cell>
          <cell r="J3753">
            <v>16834290</v>
          </cell>
          <cell r="K3753">
            <v>5000</v>
          </cell>
        </row>
        <row r="3754">
          <cell r="A3754" t="str">
            <v>Q4'2025</v>
          </cell>
          <cell r="B3754" t="str">
            <v>Majd Nairoukh</v>
          </cell>
          <cell r="E3754" t="str">
            <v>F-NE</v>
          </cell>
          <cell r="F3754" t="str">
            <v>AM</v>
          </cell>
          <cell r="H3754">
            <v>3471</v>
          </cell>
          <cell r="I3754">
            <v>20000</v>
          </cell>
          <cell r="J3754">
            <v>16012728</v>
          </cell>
          <cell r="K3754">
            <v>5000</v>
          </cell>
        </row>
        <row r="3755">
          <cell r="A3755" t="str">
            <v>Q4'2025</v>
          </cell>
          <cell r="B3755" t="str">
            <v>Nader AlMustafa</v>
          </cell>
          <cell r="E3755" t="str">
            <v>F-NE</v>
          </cell>
          <cell r="F3755" t="str">
            <v>AM</v>
          </cell>
          <cell r="H3755">
            <v>2552</v>
          </cell>
          <cell r="I3755">
            <v>18000</v>
          </cell>
          <cell r="J3755">
            <v>16651202</v>
          </cell>
          <cell r="K3755">
            <v>1500</v>
          </cell>
        </row>
        <row r="3756">
          <cell r="A3756" t="str">
            <v>Q4'2025</v>
          </cell>
          <cell r="B3756" t="str">
            <v>Yousef Al Baloushi</v>
          </cell>
          <cell r="E3756" t="str">
            <v>F-NE</v>
          </cell>
          <cell r="F3756" t="str">
            <v>AM</v>
          </cell>
          <cell r="H3756">
            <v>2552</v>
          </cell>
          <cell r="I3756">
            <v>13000</v>
          </cell>
          <cell r="J3756">
            <v>19129025</v>
          </cell>
          <cell r="K3756">
            <v>17000</v>
          </cell>
        </row>
        <row r="3757">
          <cell r="A3757" t="str">
            <v>Q4'2025</v>
          </cell>
          <cell r="B3757" t="str">
            <v>Khaled Alawadi</v>
          </cell>
          <cell r="E3757" t="str">
            <v>F-NE</v>
          </cell>
          <cell r="F3757" t="str">
            <v>D</v>
          </cell>
          <cell r="H3757">
            <v>12960</v>
          </cell>
          <cell r="I3757">
            <v>90000</v>
          </cell>
          <cell r="J3757">
            <v>76290649</v>
          </cell>
          <cell r="K3757">
            <v>32070</v>
          </cell>
        </row>
        <row r="3758">
          <cell r="A3758" t="str">
            <v>Q4'2025</v>
          </cell>
          <cell r="B3758" t="str">
            <v>Adnan Bashir</v>
          </cell>
          <cell r="E3758" t="str">
            <v>HUNT</v>
          </cell>
          <cell r="F3758" t="str">
            <v>AM</v>
          </cell>
          <cell r="H3758">
            <v>547</v>
          </cell>
          <cell r="I3758">
            <v>28200</v>
          </cell>
          <cell r="J3758">
            <v>7397389</v>
          </cell>
          <cell r="K3758">
            <v>6334</v>
          </cell>
        </row>
        <row r="3759">
          <cell r="A3759" t="str">
            <v>Q4'2025</v>
          </cell>
          <cell r="B3759" t="str">
            <v>Ahmed Shaddad</v>
          </cell>
          <cell r="E3759" t="str">
            <v>HUNT</v>
          </cell>
          <cell r="F3759" t="str">
            <v>AM</v>
          </cell>
          <cell r="H3759">
            <v>547</v>
          </cell>
          <cell r="I3759">
            <v>28200</v>
          </cell>
          <cell r="J3759">
            <v>4986206</v>
          </cell>
          <cell r="K3759">
            <v>6334</v>
          </cell>
        </row>
        <row r="3760">
          <cell r="A3760" t="str">
            <v>Q4'2025</v>
          </cell>
          <cell r="B3760" t="str">
            <v>Favas Kurinhilayil</v>
          </cell>
          <cell r="E3760" t="str">
            <v>HUNT</v>
          </cell>
          <cell r="F3760" t="str">
            <v>AM</v>
          </cell>
          <cell r="H3760">
            <v>547</v>
          </cell>
          <cell r="I3760">
            <v>28200</v>
          </cell>
          <cell r="J3760">
            <v>6602764</v>
          </cell>
          <cell r="K3760">
            <v>6334</v>
          </cell>
        </row>
        <row r="3761">
          <cell r="A3761" t="str">
            <v>Q4'2025</v>
          </cell>
          <cell r="B3761" t="str">
            <v>Ranjith Chandran</v>
          </cell>
          <cell r="E3761" t="str">
            <v>HUNT</v>
          </cell>
          <cell r="F3761" t="str">
            <v>AM</v>
          </cell>
          <cell r="H3761">
            <v>547</v>
          </cell>
          <cell r="I3761">
            <v>28200</v>
          </cell>
          <cell r="J3761">
            <v>4298077</v>
          </cell>
          <cell r="K3761">
            <v>6334</v>
          </cell>
        </row>
        <row r="3762">
          <cell r="A3762" t="str">
            <v>Q4'2025</v>
          </cell>
          <cell r="B3762" t="str">
            <v>Othman Hassan</v>
          </cell>
          <cell r="E3762" t="str">
            <v>HUNT</v>
          </cell>
          <cell r="F3762" t="str">
            <v>AM</v>
          </cell>
          <cell r="H3762">
            <v>547</v>
          </cell>
          <cell r="I3762">
            <v>28200</v>
          </cell>
          <cell r="J3762">
            <v>5286580</v>
          </cell>
          <cell r="K3762">
            <v>6334</v>
          </cell>
        </row>
        <row r="3763">
          <cell r="A3763" t="str">
            <v>Q4'2025</v>
          </cell>
          <cell r="B3763" t="str">
            <v>Mohamed AlZarooni</v>
          </cell>
          <cell r="E3763" t="str">
            <v>HUNT</v>
          </cell>
          <cell r="F3763" t="str">
            <v>D</v>
          </cell>
          <cell r="H3763">
            <v>2735</v>
          </cell>
          <cell r="I3763">
            <v>141000</v>
          </cell>
          <cell r="J3763">
            <v>28571016</v>
          </cell>
          <cell r="K3763">
            <v>31670</v>
          </cell>
        </row>
        <row r="3764">
          <cell r="A3764" t="str">
            <v>Q4'2025</v>
          </cell>
          <cell r="B3764" t="str">
            <v>Amjad Ilwan</v>
          </cell>
          <cell r="E3764" t="str">
            <v>KEY-A</v>
          </cell>
          <cell r="F3764" t="str">
            <v>AM</v>
          </cell>
          <cell r="H3764">
            <v>225</v>
          </cell>
          <cell r="I3764">
            <v>200000</v>
          </cell>
          <cell r="J3764">
            <v>11574723</v>
          </cell>
          <cell r="K3764">
            <v>14747.5</v>
          </cell>
        </row>
        <row r="3765">
          <cell r="A3765" t="str">
            <v>Q4'2025</v>
          </cell>
          <cell r="B3765" t="str">
            <v>Ahemar Khan</v>
          </cell>
          <cell r="E3765" t="str">
            <v>KEY-A</v>
          </cell>
          <cell r="F3765" t="str">
            <v>AM</v>
          </cell>
          <cell r="J3765">
            <v>35878047</v>
          </cell>
        </row>
        <row r="3766">
          <cell r="A3766" t="str">
            <v>Q4'2025</v>
          </cell>
          <cell r="B3766" t="str">
            <v>Fadi Saleh</v>
          </cell>
          <cell r="E3766" t="str">
            <v>KEY-A</v>
          </cell>
          <cell r="F3766" t="str">
            <v>AM</v>
          </cell>
          <cell r="J3766">
            <v>21790357</v>
          </cell>
        </row>
        <row r="3767">
          <cell r="A3767" t="str">
            <v>Q4'2025</v>
          </cell>
          <cell r="B3767" t="str">
            <v>Ninette Hajjar</v>
          </cell>
          <cell r="E3767" t="str">
            <v>KEY-A</v>
          </cell>
          <cell r="F3767" t="str">
            <v>AM</v>
          </cell>
          <cell r="J3767">
            <v>14753046</v>
          </cell>
        </row>
        <row r="3768">
          <cell r="A3768" t="str">
            <v>Q4'2025</v>
          </cell>
          <cell r="B3768" t="str">
            <v>Rijith Menon</v>
          </cell>
          <cell r="E3768" t="str">
            <v>KEY-A</v>
          </cell>
          <cell r="F3768" t="str">
            <v>AM</v>
          </cell>
          <cell r="H3768">
            <v>225</v>
          </cell>
          <cell r="I3768">
            <v>70000</v>
          </cell>
          <cell r="J3768">
            <v>17922991</v>
          </cell>
          <cell r="K3768">
            <v>14747</v>
          </cell>
        </row>
        <row r="3769">
          <cell r="A3769" t="str">
            <v>Q4'2025</v>
          </cell>
          <cell r="B3769" t="str">
            <v>Suleiman Wanni</v>
          </cell>
          <cell r="E3769" t="str">
            <v>KEY-A</v>
          </cell>
          <cell r="F3769" t="str">
            <v>AM</v>
          </cell>
          <cell r="H3769">
            <v>225</v>
          </cell>
          <cell r="I3769">
            <v>40000</v>
          </cell>
          <cell r="J3769">
            <v>10884421</v>
          </cell>
          <cell r="K3769">
            <v>10747</v>
          </cell>
        </row>
        <row r="3770">
          <cell r="A3770" t="str">
            <v>Q4'2025</v>
          </cell>
          <cell r="B3770" t="str">
            <v>Waseem Suhaf</v>
          </cell>
          <cell r="E3770" t="str">
            <v>KEY-A</v>
          </cell>
          <cell r="F3770" t="str">
            <v>AM</v>
          </cell>
          <cell r="H3770">
            <v>225</v>
          </cell>
          <cell r="I3770">
            <v>425000</v>
          </cell>
          <cell r="J3770">
            <v>17285071</v>
          </cell>
          <cell r="K3770">
            <v>14258</v>
          </cell>
        </row>
        <row r="3771">
          <cell r="A3771" t="str">
            <v>Q4'2025</v>
          </cell>
          <cell r="B3771" t="str">
            <v>Hany Jawee</v>
          </cell>
          <cell r="E3771" t="str">
            <v>KEY-A</v>
          </cell>
          <cell r="F3771" t="str">
            <v>D</v>
          </cell>
          <cell r="H3771">
            <v>900</v>
          </cell>
          <cell r="I3771">
            <v>2000000</v>
          </cell>
          <cell r="J3771">
            <v>130088656</v>
          </cell>
          <cell r="K3771">
            <v>54500</v>
          </cell>
        </row>
        <row r="3772">
          <cell r="A3772" t="str">
            <v>Q4'2025</v>
          </cell>
          <cell r="B3772" t="str">
            <v>Abdel Azim Sharabati</v>
          </cell>
          <cell r="E3772" t="str">
            <v>KEY-B</v>
          </cell>
          <cell r="F3772" t="str">
            <v>AM</v>
          </cell>
          <cell r="H3772">
            <v>180</v>
          </cell>
          <cell r="I3772">
            <v>87000</v>
          </cell>
          <cell r="J3772">
            <v>14665536</v>
          </cell>
          <cell r="K3772">
            <v>9847</v>
          </cell>
        </row>
        <row r="3773">
          <cell r="A3773" t="str">
            <v>Q4'2025</v>
          </cell>
          <cell r="B3773" t="str">
            <v>Abraham Cherian</v>
          </cell>
          <cell r="E3773" t="str">
            <v>KEY-B</v>
          </cell>
          <cell r="F3773" t="str">
            <v>AM</v>
          </cell>
          <cell r="H3773">
            <v>180</v>
          </cell>
          <cell r="I3773">
            <v>80000</v>
          </cell>
          <cell r="J3773">
            <v>35271146</v>
          </cell>
          <cell r="K3773">
            <v>8382</v>
          </cell>
        </row>
        <row r="3774">
          <cell r="A3774" t="str">
            <v>Q4'2025</v>
          </cell>
          <cell r="B3774" t="str">
            <v>Arjun Subaraman</v>
          </cell>
          <cell r="E3774" t="str">
            <v>KEY-B</v>
          </cell>
          <cell r="F3774" t="str">
            <v>AM</v>
          </cell>
          <cell r="H3774">
            <v>350</v>
          </cell>
          <cell r="I3774">
            <v>47000</v>
          </cell>
          <cell r="J3774">
            <v>11614502</v>
          </cell>
          <cell r="K3774">
            <v>6297</v>
          </cell>
        </row>
        <row r="3775">
          <cell r="A3775" t="str">
            <v>Q4'2025</v>
          </cell>
          <cell r="B3775" t="str">
            <v>Ehab Hajou</v>
          </cell>
          <cell r="E3775" t="str">
            <v>KEY-B</v>
          </cell>
          <cell r="F3775" t="str">
            <v>AM</v>
          </cell>
          <cell r="H3775">
            <v>300</v>
          </cell>
          <cell r="I3775">
            <v>56000</v>
          </cell>
          <cell r="J3775">
            <v>8701901</v>
          </cell>
          <cell r="K3775">
            <v>10877</v>
          </cell>
        </row>
        <row r="3776">
          <cell r="A3776" t="str">
            <v>Q4'2025</v>
          </cell>
          <cell r="B3776" t="str">
            <v>Ghassan Fouany</v>
          </cell>
          <cell r="E3776" t="str">
            <v>KEY-B</v>
          </cell>
          <cell r="F3776" t="str">
            <v>AM</v>
          </cell>
          <cell r="H3776">
            <v>250</v>
          </cell>
          <cell r="I3776">
            <v>56000</v>
          </cell>
          <cell r="J3776">
            <v>9137196</v>
          </cell>
          <cell r="K3776">
            <v>4007</v>
          </cell>
        </row>
        <row r="3777">
          <cell r="A3777" t="str">
            <v>Q4'2025</v>
          </cell>
          <cell r="B3777" t="str">
            <v>Inayat Fazili</v>
          </cell>
          <cell r="E3777" t="str">
            <v>KEY-B</v>
          </cell>
          <cell r="F3777" t="str">
            <v>AM</v>
          </cell>
          <cell r="H3777">
            <v>400</v>
          </cell>
          <cell r="I3777">
            <v>56000</v>
          </cell>
          <cell r="J3777">
            <v>14372270</v>
          </cell>
          <cell r="K3777">
            <v>7465</v>
          </cell>
        </row>
        <row r="3778">
          <cell r="A3778" t="str">
            <v>Q4'2025</v>
          </cell>
          <cell r="B3778" t="str">
            <v>Mohamad Labban</v>
          </cell>
          <cell r="E3778" t="str">
            <v>KEY-B</v>
          </cell>
          <cell r="F3778" t="str">
            <v>AM</v>
          </cell>
          <cell r="H3778">
            <v>350</v>
          </cell>
          <cell r="I3778">
            <v>56000</v>
          </cell>
          <cell r="J3778">
            <v>13668543</v>
          </cell>
          <cell r="K3778">
            <v>8312</v>
          </cell>
        </row>
        <row r="3779">
          <cell r="A3779" t="str">
            <v>Q4'2025</v>
          </cell>
          <cell r="B3779" t="str">
            <v>Mostafa Mekawy</v>
          </cell>
          <cell r="E3779" t="str">
            <v>KEY-B</v>
          </cell>
          <cell r="F3779" t="str">
            <v>AM</v>
          </cell>
          <cell r="H3779">
            <v>240</v>
          </cell>
          <cell r="I3779">
            <v>56000</v>
          </cell>
          <cell r="J3779">
            <v>14330167</v>
          </cell>
          <cell r="K3779">
            <v>11427</v>
          </cell>
        </row>
        <row r="3780">
          <cell r="A3780" t="str">
            <v>Q4'2025</v>
          </cell>
          <cell r="B3780" t="str">
            <v>Nadeem Rasheed</v>
          </cell>
          <cell r="E3780" t="str">
            <v>KEY-B</v>
          </cell>
          <cell r="F3780" t="str">
            <v>AM</v>
          </cell>
          <cell r="H3780">
            <v>250</v>
          </cell>
          <cell r="I3780">
            <v>56000</v>
          </cell>
          <cell r="J3780">
            <v>10758949</v>
          </cell>
          <cell r="K3780">
            <v>6206</v>
          </cell>
        </row>
        <row r="3781">
          <cell r="A3781" t="str">
            <v>Q4'2025</v>
          </cell>
          <cell r="B3781" t="str">
            <v>Mazen Adem</v>
          </cell>
          <cell r="E3781" t="str">
            <v>KEY-B</v>
          </cell>
          <cell r="F3781" t="str">
            <v>D</v>
          </cell>
          <cell r="H3781">
            <v>2500</v>
          </cell>
          <cell r="I3781">
            <v>550000</v>
          </cell>
          <cell r="J3781">
            <v>132520210</v>
          </cell>
          <cell r="K3781">
            <v>72820</v>
          </cell>
        </row>
        <row r="3782">
          <cell r="A3782" t="str">
            <v>Q4'2025</v>
          </cell>
          <cell r="B3782" t="str">
            <v>Ahmad Ozdamir</v>
          </cell>
          <cell r="E3782" t="str">
            <v>LE</v>
          </cell>
          <cell r="F3782" t="str">
            <v>AM</v>
          </cell>
          <cell r="H3782">
            <v>1075</v>
          </cell>
          <cell r="I3782">
            <v>40000</v>
          </cell>
          <cell r="J3782">
            <v>9460846</v>
          </cell>
          <cell r="K3782">
            <v>7845</v>
          </cell>
        </row>
        <row r="3783">
          <cell r="A3783" t="str">
            <v>Q4'2025</v>
          </cell>
          <cell r="B3783" t="str">
            <v>Eslam Hassan</v>
          </cell>
          <cell r="E3783" t="str">
            <v>LE</v>
          </cell>
          <cell r="F3783" t="str">
            <v>AM</v>
          </cell>
          <cell r="H3783">
            <v>1300</v>
          </cell>
          <cell r="I3783">
            <v>23334</v>
          </cell>
          <cell r="J3783">
            <v>10613842</v>
          </cell>
          <cell r="K3783">
            <v>7845</v>
          </cell>
        </row>
        <row r="3784">
          <cell r="A3784" t="str">
            <v>Q4'2025</v>
          </cell>
          <cell r="B3784" t="str">
            <v>Khaled Abdelaziz</v>
          </cell>
          <cell r="E3784" t="str">
            <v>LE</v>
          </cell>
          <cell r="F3784" t="str">
            <v>AM</v>
          </cell>
          <cell r="H3784">
            <v>2000</v>
          </cell>
          <cell r="I3784">
            <v>23333</v>
          </cell>
          <cell r="J3784">
            <v>9337259</v>
          </cell>
          <cell r="K3784">
            <v>7845</v>
          </cell>
        </row>
        <row r="3785">
          <cell r="A3785" t="str">
            <v>Q4'2025</v>
          </cell>
          <cell r="B3785" t="str">
            <v>Mohamed Mostafa</v>
          </cell>
          <cell r="E3785" t="str">
            <v>LE</v>
          </cell>
          <cell r="F3785" t="str">
            <v>AM</v>
          </cell>
          <cell r="H3785">
            <v>1200</v>
          </cell>
          <cell r="I3785">
            <v>23333</v>
          </cell>
          <cell r="J3785">
            <v>8653571</v>
          </cell>
          <cell r="K3785">
            <v>7845</v>
          </cell>
        </row>
        <row r="3786">
          <cell r="A3786" t="str">
            <v>Q4'2025</v>
          </cell>
          <cell r="B3786" t="str">
            <v>Mushahid Hussain Syed</v>
          </cell>
          <cell r="E3786" t="str">
            <v>LE</v>
          </cell>
          <cell r="F3786" t="str">
            <v>AM</v>
          </cell>
          <cell r="H3786">
            <v>500</v>
          </cell>
          <cell r="I3786">
            <v>80000</v>
          </cell>
          <cell r="J3786">
            <v>10109983</v>
          </cell>
          <cell r="K3786">
            <v>7845</v>
          </cell>
        </row>
        <row r="3787">
          <cell r="A3787" t="str">
            <v>Q4'2025</v>
          </cell>
          <cell r="B3787" t="str">
            <v>Peter Sedrak</v>
          </cell>
          <cell r="E3787" t="str">
            <v>LE</v>
          </cell>
          <cell r="F3787" t="str">
            <v>AM</v>
          </cell>
          <cell r="H3787">
            <v>1200</v>
          </cell>
          <cell r="I3787">
            <v>35000</v>
          </cell>
          <cell r="J3787">
            <v>9393485</v>
          </cell>
          <cell r="K3787">
            <v>7845</v>
          </cell>
        </row>
        <row r="3788">
          <cell r="A3788" t="str">
            <v>Q4'2025</v>
          </cell>
          <cell r="B3788" t="str">
            <v>Ramy Abdel Fattah</v>
          </cell>
          <cell r="E3788" t="str">
            <v>LE</v>
          </cell>
          <cell r="F3788" t="str">
            <v>AM</v>
          </cell>
          <cell r="H3788">
            <v>1000</v>
          </cell>
          <cell r="I3788">
            <v>35000</v>
          </cell>
          <cell r="J3788">
            <v>9009099</v>
          </cell>
          <cell r="K3788">
            <v>7845</v>
          </cell>
        </row>
        <row r="3789">
          <cell r="A3789" t="str">
            <v>Q4'2025</v>
          </cell>
          <cell r="B3789" t="str">
            <v>Shabbir Lacewala</v>
          </cell>
          <cell r="E3789" t="str">
            <v>LE</v>
          </cell>
          <cell r="F3789" t="str">
            <v>AM</v>
          </cell>
          <cell r="H3789">
            <v>690</v>
          </cell>
          <cell r="I3789">
            <v>90000</v>
          </cell>
          <cell r="J3789">
            <v>13663200</v>
          </cell>
          <cell r="K3789">
            <v>7845</v>
          </cell>
        </row>
        <row r="3790">
          <cell r="A3790" t="str">
            <v>Q4'2025</v>
          </cell>
          <cell r="B3790" t="str">
            <v>Muhammad Shahzad Hasan</v>
          </cell>
          <cell r="E3790" t="str">
            <v>LE</v>
          </cell>
          <cell r="F3790" t="str">
            <v>D</v>
          </cell>
          <cell r="H3790">
            <v>8965</v>
          </cell>
          <cell r="I3790">
            <v>350000</v>
          </cell>
          <cell r="J3790">
            <v>80241285</v>
          </cell>
          <cell r="K3790">
            <v>62760</v>
          </cell>
        </row>
        <row r="3791">
          <cell r="A3791" t="str">
            <v>Q1'2026</v>
          </cell>
          <cell r="B3791" t="str">
            <v>Ammar Alqudsi</v>
          </cell>
          <cell r="E3791" t="str">
            <v>AUH</v>
          </cell>
          <cell r="F3791" t="str">
            <v>AM</v>
          </cell>
          <cell r="G3791">
            <v>3903</v>
          </cell>
          <cell r="H3791">
            <v>2207</v>
          </cell>
          <cell r="I3791">
            <v>32000</v>
          </cell>
          <cell r="J3791">
            <v>16100501</v>
          </cell>
          <cell r="K3791">
            <v>4000</v>
          </cell>
        </row>
        <row r="3792">
          <cell r="A3792" t="str">
            <v>Q1'2026</v>
          </cell>
          <cell r="B3792" t="str">
            <v>Muhammad Nauman Khan</v>
          </cell>
          <cell r="E3792" t="str">
            <v>AUH</v>
          </cell>
          <cell r="F3792" t="str">
            <v>AM</v>
          </cell>
          <cell r="G3792">
            <v>1080</v>
          </cell>
          <cell r="H3792">
            <v>500</v>
          </cell>
          <cell r="I3792">
            <v>95232</v>
          </cell>
          <cell r="J3792">
            <v>9784511</v>
          </cell>
          <cell r="K3792">
            <v>8000</v>
          </cell>
        </row>
        <row r="3793">
          <cell r="A3793" t="str">
            <v>Q1'2026</v>
          </cell>
          <cell r="B3793" t="str">
            <v>Khadija Salem</v>
          </cell>
          <cell r="E3793" t="str">
            <v>AUH</v>
          </cell>
          <cell r="F3793" t="str">
            <v>AM</v>
          </cell>
          <cell r="G3793">
            <v>1150</v>
          </cell>
          <cell r="H3793">
            <v>750</v>
          </cell>
          <cell r="I3793">
            <v>32000</v>
          </cell>
          <cell r="J3793">
            <v>5004872</v>
          </cell>
          <cell r="K3793">
            <v>3620</v>
          </cell>
        </row>
        <row r="3794">
          <cell r="A3794" t="str">
            <v>Q1'2026</v>
          </cell>
          <cell r="B3794" t="str">
            <v>Osman Basuleman</v>
          </cell>
          <cell r="E3794" t="str">
            <v>AUH</v>
          </cell>
          <cell r="F3794" t="str">
            <v>AM</v>
          </cell>
          <cell r="G3794">
            <v>940</v>
          </cell>
          <cell r="H3794">
            <v>650</v>
          </cell>
          <cell r="I3794">
            <v>32000</v>
          </cell>
          <cell r="J3794">
            <v>9858881</v>
          </cell>
          <cell r="K3794">
            <v>5000</v>
          </cell>
        </row>
        <row r="3795">
          <cell r="A3795" t="str">
            <v>Q1'2026</v>
          </cell>
          <cell r="B3795" t="str">
            <v>Othman Hassan</v>
          </cell>
          <cell r="E3795" t="str">
            <v>AUH</v>
          </cell>
          <cell r="F3795" t="str">
            <v>AM</v>
          </cell>
          <cell r="G3795">
            <v>500</v>
          </cell>
          <cell r="H3795">
            <v>340</v>
          </cell>
          <cell r="I3795">
            <v>32000</v>
          </cell>
          <cell r="J3795">
            <v>5902338</v>
          </cell>
          <cell r="K3795">
            <v>4000</v>
          </cell>
        </row>
        <row r="3796">
          <cell r="A3796" t="str">
            <v>Q1'2026</v>
          </cell>
          <cell r="B3796" t="str">
            <v>Tarek Solh</v>
          </cell>
          <cell r="E3796" t="str">
            <v>AUH</v>
          </cell>
          <cell r="F3796" t="str">
            <v>AM</v>
          </cell>
          <cell r="G3796">
            <v>630</v>
          </cell>
          <cell r="H3796">
            <v>300</v>
          </cell>
          <cell r="I3796">
            <v>95231</v>
          </cell>
          <cell r="J3796">
            <v>27506397</v>
          </cell>
          <cell r="K3796">
            <v>8000</v>
          </cell>
        </row>
        <row r="3797">
          <cell r="A3797" t="str">
            <v>Q1'2026</v>
          </cell>
          <cell r="B3797" t="str">
            <v>Khaled Alawadi</v>
          </cell>
          <cell r="E3797" t="str">
            <v>AUH</v>
          </cell>
          <cell r="F3797" t="str">
            <v>D</v>
          </cell>
          <cell r="G3797">
            <v>8203</v>
          </cell>
          <cell r="H3797">
            <v>4747</v>
          </cell>
          <cell r="I3797">
            <v>318463</v>
          </cell>
          <cell r="J3797">
            <v>74157500</v>
          </cell>
          <cell r="K3797">
            <v>32620</v>
          </cell>
        </row>
        <row r="3798">
          <cell r="A3798" t="str">
            <v>Q1'2026</v>
          </cell>
          <cell r="B3798" t="str">
            <v>Humaid Al Ali</v>
          </cell>
          <cell r="E3798" t="str">
            <v>DXB</v>
          </cell>
          <cell r="F3798" t="str">
            <v>AM</v>
          </cell>
          <cell r="G3798">
            <v>2069</v>
          </cell>
          <cell r="H3798">
            <v>1201</v>
          </cell>
          <cell r="I3798">
            <v>90000</v>
          </cell>
          <cell r="J3798">
            <v>26600000</v>
          </cell>
          <cell r="K3798">
            <v>7780</v>
          </cell>
        </row>
        <row r="3799">
          <cell r="A3799" t="str">
            <v>Q1'2026</v>
          </cell>
          <cell r="B3799" t="str">
            <v>Maen Okour</v>
          </cell>
          <cell r="E3799" t="str">
            <v>DXB</v>
          </cell>
          <cell r="F3799" t="str">
            <v>AM</v>
          </cell>
          <cell r="J3799">
            <v>21900000</v>
          </cell>
        </row>
        <row r="3800">
          <cell r="A3800" t="str">
            <v>Q1'2026</v>
          </cell>
          <cell r="B3800" t="str">
            <v>Muhannad Allow</v>
          </cell>
          <cell r="E3800" t="str">
            <v>DXB</v>
          </cell>
          <cell r="F3800" t="str">
            <v>AM</v>
          </cell>
          <cell r="J3800">
            <v>11000000</v>
          </cell>
        </row>
        <row r="3801">
          <cell r="A3801" t="str">
            <v>Q1'2026</v>
          </cell>
          <cell r="B3801" t="str">
            <v>Ramzi Gholmieh</v>
          </cell>
          <cell r="E3801" t="str">
            <v>DXB</v>
          </cell>
          <cell r="F3801" t="str">
            <v>AM</v>
          </cell>
          <cell r="G3801">
            <v>2069</v>
          </cell>
          <cell r="H3801">
            <v>1200</v>
          </cell>
          <cell r="I3801">
            <v>141475</v>
          </cell>
          <cell r="J3801">
            <v>14600000</v>
          </cell>
          <cell r="K3801">
            <v>7780</v>
          </cell>
        </row>
        <row r="3802">
          <cell r="A3802" t="str">
            <v>Q1'2026</v>
          </cell>
          <cell r="B3802" t="str">
            <v>Talal Ahmed Ali Alsharhan</v>
          </cell>
          <cell r="E3802" t="str">
            <v>DXB</v>
          </cell>
          <cell r="F3802" t="str">
            <v>AM</v>
          </cell>
          <cell r="G3802">
            <v>4000</v>
          </cell>
          <cell r="H3802">
            <v>2400</v>
          </cell>
          <cell r="I3802">
            <v>141476</v>
          </cell>
          <cell r="J3802">
            <v>22898000</v>
          </cell>
          <cell r="K3802">
            <v>7780</v>
          </cell>
        </row>
        <row r="3803">
          <cell r="A3803" t="str">
            <v>Q1'2026</v>
          </cell>
          <cell r="B3803" t="str">
            <v>Mohamad Amer Sibai</v>
          </cell>
          <cell r="E3803" t="str">
            <v>DXB</v>
          </cell>
          <cell r="F3803" t="str">
            <v>D</v>
          </cell>
          <cell r="G3803">
            <v>8138</v>
          </cell>
          <cell r="H3803">
            <v>4801</v>
          </cell>
          <cell r="I3803">
            <v>372951</v>
          </cell>
          <cell r="J3803">
            <v>96998000</v>
          </cell>
          <cell r="K3803">
            <v>23340</v>
          </cell>
        </row>
        <row r="3804">
          <cell r="A3804" t="str">
            <v>Q1'2026</v>
          </cell>
          <cell r="B3804" t="str">
            <v>Ahmad Alkurdi</v>
          </cell>
          <cell r="E3804" t="str">
            <v>F-NE</v>
          </cell>
          <cell r="F3804" t="str">
            <v>AM</v>
          </cell>
          <cell r="G3804">
            <v>356</v>
          </cell>
          <cell r="H3804">
            <v>100</v>
          </cell>
          <cell r="I3804">
            <v>3000</v>
          </cell>
          <cell r="J3804">
            <v>1789500</v>
          </cell>
          <cell r="K3804">
            <v>500</v>
          </cell>
        </row>
        <row r="3805">
          <cell r="A3805" t="str">
            <v>Q1'2026</v>
          </cell>
          <cell r="B3805" t="str">
            <v>Bader Al Shehhi</v>
          </cell>
          <cell r="E3805" t="str">
            <v>F-NE</v>
          </cell>
          <cell r="F3805" t="str">
            <v>AM</v>
          </cell>
          <cell r="G3805">
            <v>2315</v>
          </cell>
          <cell r="H3805">
            <v>1972</v>
          </cell>
          <cell r="I3805">
            <v>8500</v>
          </cell>
          <cell r="J3805">
            <v>7010115</v>
          </cell>
          <cell r="K3805">
            <v>800</v>
          </cell>
        </row>
        <row r="3806">
          <cell r="A3806" t="str">
            <v>Q1'2026</v>
          </cell>
          <cell r="B3806" t="str">
            <v>Bashar Al Adilee</v>
          </cell>
          <cell r="E3806" t="str">
            <v>F-NE</v>
          </cell>
          <cell r="F3806" t="str">
            <v>AM</v>
          </cell>
          <cell r="G3806">
            <v>628</v>
          </cell>
          <cell r="H3806">
            <v>500</v>
          </cell>
          <cell r="I3806">
            <v>35000</v>
          </cell>
          <cell r="J3806">
            <v>15459468</v>
          </cell>
          <cell r="K3806">
            <v>15476</v>
          </cell>
        </row>
        <row r="3807">
          <cell r="A3807" t="str">
            <v>Q1'2026</v>
          </cell>
          <cell r="B3807" t="str">
            <v>Majd Nairoukh</v>
          </cell>
          <cell r="E3807" t="str">
            <v>F-NE</v>
          </cell>
          <cell r="F3807" t="str">
            <v>AM</v>
          </cell>
          <cell r="G3807">
            <v>5349</v>
          </cell>
          <cell r="H3807">
            <v>3100</v>
          </cell>
          <cell r="I3807">
            <v>35000</v>
          </cell>
          <cell r="J3807">
            <v>13441395</v>
          </cell>
          <cell r="K3807">
            <v>2328.9743589743589</v>
          </cell>
        </row>
        <row r="3808">
          <cell r="A3808" t="str">
            <v>Q1'2026</v>
          </cell>
          <cell r="B3808" t="str">
            <v>Nader AlMustafa</v>
          </cell>
          <cell r="E3808" t="str">
            <v>F-NE</v>
          </cell>
          <cell r="F3808" t="str">
            <v>AM</v>
          </cell>
          <cell r="G3808">
            <v>3150</v>
          </cell>
          <cell r="H3808">
            <v>800</v>
          </cell>
          <cell r="I3808">
            <v>64684</v>
          </cell>
          <cell r="J3808">
            <v>15130915</v>
          </cell>
          <cell r="K3808">
            <v>1035</v>
          </cell>
        </row>
        <row r="3809">
          <cell r="A3809" t="str">
            <v>Q1'2026</v>
          </cell>
          <cell r="B3809" t="str">
            <v>Yousef Al Baloushi</v>
          </cell>
          <cell r="E3809" t="str">
            <v>F-NE</v>
          </cell>
          <cell r="F3809" t="str">
            <v>AM</v>
          </cell>
          <cell r="G3809">
            <v>5647</v>
          </cell>
          <cell r="H3809">
            <v>3161</v>
          </cell>
          <cell r="I3809">
            <v>8500</v>
          </cell>
          <cell r="J3809">
            <v>17368607</v>
          </cell>
          <cell r="K3809">
            <v>3300</v>
          </cell>
        </row>
        <row r="3810">
          <cell r="A3810" t="str">
            <v>Q1'2026</v>
          </cell>
          <cell r="B3810" t="str">
            <v>Khaled Alawadi</v>
          </cell>
          <cell r="E3810" t="str">
            <v>F-NE</v>
          </cell>
          <cell r="F3810" t="str">
            <v>D</v>
          </cell>
          <cell r="G3810">
            <v>17445</v>
          </cell>
          <cell r="H3810">
            <v>9633</v>
          </cell>
          <cell r="I3810">
            <v>154684</v>
          </cell>
          <cell r="J3810">
            <v>70200000</v>
          </cell>
          <cell r="K3810">
            <v>23439.974358974359</v>
          </cell>
        </row>
        <row r="3811">
          <cell r="A3811" t="str">
            <v>Q1'2026</v>
          </cell>
          <cell r="B3811" t="str">
            <v>Adnan Bashir</v>
          </cell>
          <cell r="E3811" t="str">
            <v>HUNT</v>
          </cell>
          <cell r="F3811" t="str">
            <v>AM</v>
          </cell>
          <cell r="G3811">
            <v>509</v>
          </cell>
          <cell r="H3811">
            <v>275</v>
          </cell>
          <cell r="I3811">
            <v>35000</v>
          </cell>
          <cell r="J3811">
            <v>6350000</v>
          </cell>
          <cell r="K3811">
            <v>4500</v>
          </cell>
        </row>
        <row r="3812">
          <cell r="A3812" t="str">
            <v>Q1'2026</v>
          </cell>
          <cell r="B3812" t="str">
            <v>Ahmed Shaddad</v>
          </cell>
          <cell r="E3812" t="str">
            <v>HUNT</v>
          </cell>
          <cell r="F3812" t="str">
            <v>AM</v>
          </cell>
          <cell r="G3812">
            <v>1316</v>
          </cell>
          <cell r="H3812">
            <v>751</v>
          </cell>
          <cell r="I3812">
            <v>35000</v>
          </cell>
          <cell r="J3812">
            <v>5800000</v>
          </cell>
          <cell r="K3812">
            <v>4500</v>
          </cell>
        </row>
        <row r="3813">
          <cell r="A3813" t="str">
            <v>Q1'2026</v>
          </cell>
          <cell r="B3813" t="str">
            <v>Favas Kurinhilayil</v>
          </cell>
          <cell r="E3813" t="str">
            <v>HUNT</v>
          </cell>
          <cell r="F3813" t="str">
            <v>AM</v>
          </cell>
          <cell r="G3813">
            <v>945</v>
          </cell>
          <cell r="H3813">
            <v>438</v>
          </cell>
          <cell r="I3813">
            <v>35000</v>
          </cell>
          <cell r="J3813">
            <v>7790000</v>
          </cell>
          <cell r="K3813">
            <v>4500</v>
          </cell>
        </row>
        <row r="3814">
          <cell r="A3814" t="str">
            <v>Q1'2026</v>
          </cell>
          <cell r="B3814" t="str">
            <v>Ranjith Chandran</v>
          </cell>
          <cell r="E3814" t="str">
            <v>HUNT</v>
          </cell>
          <cell r="F3814" t="str">
            <v>AM</v>
          </cell>
          <cell r="G3814">
            <v>720</v>
          </cell>
          <cell r="H3814">
            <v>321</v>
          </cell>
          <cell r="I3814">
            <v>35000</v>
          </cell>
          <cell r="J3814">
            <v>5100000</v>
          </cell>
          <cell r="K3814">
            <v>4500</v>
          </cell>
        </row>
        <row r="3815">
          <cell r="A3815" t="str">
            <v>Q1'2026</v>
          </cell>
          <cell r="B3815" t="str">
            <v>Abdulla Hussain</v>
          </cell>
          <cell r="E3815" t="str">
            <v>HUNT</v>
          </cell>
          <cell r="F3815" t="str">
            <v>AM</v>
          </cell>
          <cell r="G3815">
            <v>400</v>
          </cell>
          <cell r="H3815">
            <v>215</v>
          </cell>
          <cell r="I3815">
            <v>30000</v>
          </cell>
          <cell r="J3815">
            <v>5000000</v>
          </cell>
          <cell r="K3815">
            <v>4500</v>
          </cell>
        </row>
        <row r="3816">
          <cell r="A3816" t="str">
            <v>Q1'2026</v>
          </cell>
          <cell r="B3816" t="str">
            <v>Buti Bin Salmin</v>
          </cell>
          <cell r="E3816" t="str">
            <v>HUNT</v>
          </cell>
          <cell r="F3816" t="str">
            <v>AM</v>
          </cell>
          <cell r="G3816">
            <v>132</v>
          </cell>
          <cell r="H3816">
            <v>86</v>
          </cell>
          <cell r="I3816">
            <v>5731</v>
          </cell>
          <cell r="J3816">
            <v>83500</v>
          </cell>
          <cell r="K3816">
            <v>1350</v>
          </cell>
        </row>
        <row r="3817">
          <cell r="A3817" t="str">
            <v>Q1'2026</v>
          </cell>
          <cell r="B3817" t="str">
            <v>Khalid Karmastaji</v>
          </cell>
          <cell r="E3817" t="str">
            <v>HUNT</v>
          </cell>
          <cell r="F3817" t="str">
            <v>D</v>
          </cell>
          <cell r="G3817">
            <v>4022</v>
          </cell>
          <cell r="H3817">
            <v>2086</v>
          </cell>
          <cell r="I3817">
            <v>175731</v>
          </cell>
          <cell r="J3817">
            <v>30123500</v>
          </cell>
          <cell r="K3817">
            <v>23850</v>
          </cell>
        </row>
        <row r="3818">
          <cell r="A3818" t="str">
            <v>Q1'2026</v>
          </cell>
          <cell r="B3818" t="str">
            <v>Amjad Ilwan</v>
          </cell>
          <cell r="E3818" t="str">
            <v>KEY-A</v>
          </cell>
          <cell r="F3818" t="str">
            <v>AM</v>
          </cell>
          <cell r="G3818">
            <v>150</v>
          </cell>
          <cell r="H3818">
            <v>50</v>
          </cell>
          <cell r="I3818">
            <v>150000</v>
          </cell>
          <cell r="J3818">
            <v>12113472</v>
          </cell>
          <cell r="K3818">
            <v>10000</v>
          </cell>
        </row>
        <row r="3819">
          <cell r="A3819" t="str">
            <v>Q1'2026</v>
          </cell>
          <cell r="B3819" t="str">
            <v>Ahemar Khan</v>
          </cell>
          <cell r="E3819" t="str">
            <v>KEY-A</v>
          </cell>
          <cell r="F3819" t="str">
            <v>AM</v>
          </cell>
          <cell r="J3819">
            <v>40434842</v>
          </cell>
        </row>
        <row r="3820">
          <cell r="A3820" t="str">
            <v>Q1'2026</v>
          </cell>
          <cell r="B3820" t="str">
            <v>Fadi Saleh</v>
          </cell>
          <cell r="E3820" t="str">
            <v>KEY-A</v>
          </cell>
          <cell r="F3820" t="str">
            <v>AM</v>
          </cell>
          <cell r="J3820">
            <v>22226944</v>
          </cell>
        </row>
        <row r="3821">
          <cell r="A3821" t="str">
            <v>Q1'2026</v>
          </cell>
          <cell r="B3821" t="str">
            <v>Ninette Hajjar</v>
          </cell>
          <cell r="E3821" t="str">
            <v>KEY-A</v>
          </cell>
          <cell r="F3821" t="str">
            <v>AM</v>
          </cell>
          <cell r="J3821">
            <v>15144714</v>
          </cell>
        </row>
        <row r="3822">
          <cell r="A3822" t="str">
            <v>Q1'2026</v>
          </cell>
          <cell r="B3822" t="str">
            <v>Rijith Menon</v>
          </cell>
          <cell r="E3822" t="str">
            <v>KEY-A</v>
          </cell>
          <cell r="F3822" t="str">
            <v>AM</v>
          </cell>
          <cell r="G3822">
            <v>150</v>
          </cell>
          <cell r="H3822">
            <v>50</v>
          </cell>
          <cell r="I3822">
            <v>60000</v>
          </cell>
          <cell r="J3822">
            <v>15338943</v>
          </cell>
          <cell r="K3822">
            <v>9973</v>
          </cell>
        </row>
        <row r="3823">
          <cell r="A3823" t="str">
            <v>Q1'2026</v>
          </cell>
          <cell r="B3823" t="str">
            <v>Suleiman Wanni</v>
          </cell>
          <cell r="E3823" t="str">
            <v>KEY-A</v>
          </cell>
          <cell r="F3823" t="str">
            <v>AM</v>
          </cell>
          <cell r="G3823">
            <v>1721</v>
          </cell>
          <cell r="H3823">
            <v>656</v>
          </cell>
          <cell r="I3823">
            <v>50000</v>
          </cell>
          <cell r="J3823">
            <v>11155073</v>
          </cell>
          <cell r="K3823">
            <v>10021.983032873826</v>
          </cell>
        </row>
        <row r="3824">
          <cell r="A3824" t="str">
            <v>Q1'2026</v>
          </cell>
          <cell r="B3824" t="str">
            <v>Waseem Suhaf</v>
          </cell>
          <cell r="E3824" t="str">
            <v>KEY-A</v>
          </cell>
          <cell r="F3824" t="str">
            <v>AM</v>
          </cell>
          <cell r="G3824">
            <v>150</v>
          </cell>
          <cell r="H3824">
            <v>50</v>
          </cell>
          <cell r="I3824">
            <v>60000</v>
          </cell>
          <cell r="J3824">
            <v>17286012</v>
          </cell>
          <cell r="K3824">
            <v>9935</v>
          </cell>
        </row>
        <row r="3825">
          <cell r="A3825" t="str">
            <v>Q1'2026</v>
          </cell>
          <cell r="B3825" t="str">
            <v>Hany Jawee</v>
          </cell>
          <cell r="E3825" t="str">
            <v>KEY-A</v>
          </cell>
          <cell r="F3825" t="str">
            <v>D</v>
          </cell>
          <cell r="G3825">
            <v>2171</v>
          </cell>
          <cell r="H3825">
            <v>806</v>
          </cell>
          <cell r="I3825">
            <v>2868384</v>
          </cell>
          <cell r="J3825">
            <v>133700000</v>
          </cell>
          <cell r="K3825">
            <v>39929.983032873824</v>
          </cell>
        </row>
        <row r="3826">
          <cell r="A3826" t="str">
            <v>Q1'2026</v>
          </cell>
          <cell r="B3826" t="str">
            <v>Abdel Azim Sharabati</v>
          </cell>
          <cell r="E3826" t="str">
            <v>KEY-B</v>
          </cell>
          <cell r="F3826" t="str">
            <v>AM</v>
          </cell>
          <cell r="G3826">
            <v>435</v>
          </cell>
          <cell r="H3826">
            <v>150</v>
          </cell>
          <cell r="I3826">
            <v>118000</v>
          </cell>
          <cell r="J3826">
            <v>15128659</v>
          </cell>
          <cell r="K3826">
            <v>6653</v>
          </cell>
        </row>
        <row r="3827">
          <cell r="A3827" t="str">
            <v>Q1'2026</v>
          </cell>
          <cell r="B3827" t="str">
            <v>Abraham Cherian</v>
          </cell>
          <cell r="E3827" t="str">
            <v>KEY-B</v>
          </cell>
          <cell r="F3827" t="str">
            <v>AM</v>
          </cell>
          <cell r="G3827">
            <v>500</v>
          </cell>
          <cell r="H3827">
            <v>170</v>
          </cell>
          <cell r="I3827">
            <v>90000</v>
          </cell>
          <cell r="J3827">
            <v>38152450</v>
          </cell>
          <cell r="K3827">
            <v>6653</v>
          </cell>
        </row>
        <row r="3828">
          <cell r="A3828" t="str">
            <v>Q1'2026</v>
          </cell>
          <cell r="B3828" t="str">
            <v>Arjun Subaraman</v>
          </cell>
          <cell r="E3828" t="str">
            <v>KEY-B</v>
          </cell>
          <cell r="F3828" t="str">
            <v>AM</v>
          </cell>
          <cell r="G3828">
            <v>300</v>
          </cell>
          <cell r="H3828">
            <v>280</v>
          </cell>
          <cell r="I3828">
            <v>113000</v>
          </cell>
          <cell r="J3828">
            <v>13537100</v>
          </cell>
          <cell r="K3828">
            <v>5653</v>
          </cell>
        </row>
        <row r="3829">
          <cell r="A3829" t="str">
            <v>Q1'2026</v>
          </cell>
          <cell r="B3829" t="str">
            <v>Ehab Hajou</v>
          </cell>
          <cell r="E3829" t="str">
            <v>KEY-B</v>
          </cell>
          <cell r="F3829" t="str">
            <v>AM</v>
          </cell>
          <cell r="G3829">
            <v>1200</v>
          </cell>
          <cell r="H3829">
            <v>667</v>
          </cell>
          <cell r="I3829">
            <v>40000</v>
          </cell>
          <cell r="J3829">
            <v>10180857</v>
          </cell>
          <cell r="K3829">
            <v>6653</v>
          </cell>
        </row>
        <row r="3830">
          <cell r="A3830" t="str">
            <v>Q1'2026</v>
          </cell>
          <cell r="B3830" t="str">
            <v>Ghassan Fouany</v>
          </cell>
          <cell r="E3830" t="str">
            <v>KEY-B</v>
          </cell>
          <cell r="F3830" t="str">
            <v>AM</v>
          </cell>
          <cell r="G3830">
            <v>660</v>
          </cell>
          <cell r="H3830">
            <v>170</v>
          </cell>
          <cell r="I3830">
            <v>50000</v>
          </cell>
          <cell r="J3830">
            <v>9879385</v>
          </cell>
          <cell r="K3830">
            <v>6653</v>
          </cell>
        </row>
        <row r="3831">
          <cell r="A3831" t="str">
            <v>Q1'2026</v>
          </cell>
          <cell r="B3831" t="str">
            <v>Inayat Fazili</v>
          </cell>
          <cell r="E3831" t="str">
            <v>KEY-B</v>
          </cell>
          <cell r="F3831" t="str">
            <v>AM</v>
          </cell>
          <cell r="G3831">
            <v>670</v>
          </cell>
          <cell r="H3831">
            <v>190</v>
          </cell>
          <cell r="I3831">
            <v>68000</v>
          </cell>
          <cell r="J3831">
            <v>17152000</v>
          </cell>
          <cell r="K3831">
            <v>6653</v>
          </cell>
        </row>
        <row r="3832">
          <cell r="A3832" t="str">
            <v>Q1'2026</v>
          </cell>
          <cell r="B3832" t="str">
            <v>Mohamad Labban</v>
          </cell>
          <cell r="E3832" t="str">
            <v>KEY-B</v>
          </cell>
          <cell r="F3832" t="str">
            <v>AM</v>
          </cell>
          <cell r="G3832">
            <v>650</v>
          </cell>
          <cell r="H3832">
            <v>180</v>
          </cell>
          <cell r="I3832">
            <v>53000</v>
          </cell>
          <cell r="J3832">
            <v>14670600</v>
          </cell>
          <cell r="K3832">
            <v>6652</v>
          </cell>
        </row>
        <row r="3833">
          <cell r="A3833" t="str">
            <v>Q1'2026</v>
          </cell>
          <cell r="B3833" t="str">
            <v>Nadeem Rasheed</v>
          </cell>
          <cell r="E3833" t="str">
            <v>KEY-B</v>
          </cell>
          <cell r="F3833" t="str">
            <v>AM</v>
          </cell>
          <cell r="G3833">
            <v>655</v>
          </cell>
          <cell r="H3833">
            <v>170</v>
          </cell>
          <cell r="I3833">
            <v>51574</v>
          </cell>
          <cell r="J3833">
            <v>13833949</v>
          </cell>
          <cell r="K3833">
            <v>7650</v>
          </cell>
        </row>
        <row r="3834">
          <cell r="A3834" t="str">
            <v>Q1'2026</v>
          </cell>
          <cell r="B3834" t="str">
            <v>Mazen Adem</v>
          </cell>
          <cell r="E3834" t="str">
            <v>KEY-B</v>
          </cell>
          <cell r="F3834" t="str">
            <v>D</v>
          </cell>
          <cell r="G3834">
            <v>5070</v>
          </cell>
          <cell r="H3834">
            <v>1977</v>
          </cell>
          <cell r="I3834">
            <v>583574</v>
          </cell>
          <cell r="J3834">
            <v>132535000</v>
          </cell>
          <cell r="K3834">
            <v>53220</v>
          </cell>
        </row>
        <row r="3835">
          <cell r="A3835" t="str">
            <v>Q1'2026</v>
          </cell>
          <cell r="B3835" t="str">
            <v>Ahmad Ozdamir</v>
          </cell>
          <cell r="E3835" t="str">
            <v>LE</v>
          </cell>
          <cell r="F3835" t="str">
            <v>AM</v>
          </cell>
          <cell r="G3835">
            <v>1400</v>
          </cell>
          <cell r="H3835">
            <v>900</v>
          </cell>
          <cell r="I3835">
            <v>31213</v>
          </cell>
          <cell r="J3835">
            <v>9224794</v>
          </cell>
          <cell r="K3835">
            <v>5700</v>
          </cell>
        </row>
        <row r="3836">
          <cell r="A3836" t="str">
            <v>Q1'2026</v>
          </cell>
          <cell r="B3836" t="str">
            <v>Eslam Hassan</v>
          </cell>
          <cell r="E3836" t="str">
            <v>LE</v>
          </cell>
          <cell r="F3836" t="str">
            <v>AM</v>
          </cell>
          <cell r="G3836">
            <v>1400</v>
          </cell>
          <cell r="H3836">
            <v>900</v>
          </cell>
          <cell r="I3836">
            <v>32000</v>
          </cell>
          <cell r="J3836">
            <v>10953839</v>
          </cell>
          <cell r="K3836">
            <v>5700</v>
          </cell>
        </row>
        <row r="3837">
          <cell r="A3837" t="str">
            <v>Q1'2026</v>
          </cell>
          <cell r="B3837" t="str">
            <v>Khaled Abdelaziz</v>
          </cell>
          <cell r="E3837" t="str">
            <v>LE</v>
          </cell>
          <cell r="F3837" t="str">
            <v>AM</v>
          </cell>
          <cell r="G3837">
            <v>1050</v>
          </cell>
          <cell r="H3837">
            <v>600</v>
          </cell>
          <cell r="I3837">
            <v>63000</v>
          </cell>
          <cell r="J3837">
            <v>8815475</v>
          </cell>
          <cell r="K3837">
            <v>5700</v>
          </cell>
        </row>
        <row r="3838">
          <cell r="A3838" t="str">
            <v>Q1'2026</v>
          </cell>
          <cell r="B3838" t="str">
            <v>Mohamed Mostafa</v>
          </cell>
          <cell r="E3838" t="str">
            <v>LE</v>
          </cell>
          <cell r="F3838" t="str">
            <v>AM</v>
          </cell>
          <cell r="G3838">
            <v>1450</v>
          </cell>
          <cell r="H3838">
            <v>850</v>
          </cell>
          <cell r="I3838">
            <v>33000</v>
          </cell>
          <cell r="J3838">
            <v>8403122</v>
          </cell>
          <cell r="K3838">
            <v>5700</v>
          </cell>
        </row>
        <row r="3839">
          <cell r="A3839" t="str">
            <v>Q1'2026</v>
          </cell>
          <cell r="B3839" t="str">
            <v>Mushahid Hussain Syed</v>
          </cell>
          <cell r="E3839" t="str">
            <v>LE</v>
          </cell>
          <cell r="F3839" t="str">
            <v>AM</v>
          </cell>
          <cell r="G3839">
            <v>1450</v>
          </cell>
          <cell r="H3839">
            <v>900</v>
          </cell>
          <cell r="I3839">
            <v>33000</v>
          </cell>
          <cell r="J3839">
            <v>10390789</v>
          </cell>
          <cell r="K3839">
            <v>5700</v>
          </cell>
        </row>
        <row r="3840">
          <cell r="A3840" t="str">
            <v>Q1'2026</v>
          </cell>
          <cell r="B3840" t="str">
            <v>Peter Sedrak</v>
          </cell>
          <cell r="E3840" t="str">
            <v>LE</v>
          </cell>
          <cell r="F3840" t="str">
            <v>AM</v>
          </cell>
          <cell r="G3840">
            <v>1500</v>
          </cell>
          <cell r="H3840">
            <v>900</v>
          </cell>
          <cell r="I3840">
            <v>30000</v>
          </cell>
          <cell r="J3840">
            <v>9445223</v>
          </cell>
          <cell r="K3840">
            <v>5700</v>
          </cell>
        </row>
        <row r="3841">
          <cell r="A3841" t="str">
            <v>Q1'2026</v>
          </cell>
          <cell r="B3841" t="str">
            <v>Ramy Abdel Fattah</v>
          </cell>
          <cell r="E3841" t="str">
            <v>LE</v>
          </cell>
          <cell r="F3841" t="str">
            <v>AM</v>
          </cell>
          <cell r="G3841">
            <v>2100</v>
          </cell>
          <cell r="H3841">
            <v>900</v>
          </cell>
          <cell r="I3841">
            <v>25000</v>
          </cell>
          <cell r="J3841">
            <v>9209535</v>
          </cell>
          <cell r="K3841">
            <v>5700</v>
          </cell>
        </row>
        <row r="3842">
          <cell r="A3842" t="str">
            <v>Q1'2026</v>
          </cell>
          <cell r="B3842" t="str">
            <v>Shabbir Lacewala</v>
          </cell>
          <cell r="E3842" t="str">
            <v>LE</v>
          </cell>
          <cell r="F3842" t="str">
            <v>AM</v>
          </cell>
          <cell r="G3842">
            <v>1981</v>
          </cell>
          <cell r="H3842">
            <v>1000</v>
          </cell>
          <cell r="I3842">
            <v>22000</v>
          </cell>
          <cell r="J3842">
            <v>13952223</v>
          </cell>
          <cell r="K3842">
            <v>5700</v>
          </cell>
        </row>
        <row r="3843">
          <cell r="A3843" t="str">
            <v>Q1'2026</v>
          </cell>
          <cell r="B3843" t="str">
            <v>Muhammad Shahzad Hasan</v>
          </cell>
          <cell r="E3843" t="str">
            <v>LE</v>
          </cell>
          <cell r="F3843" t="str">
            <v>D</v>
          </cell>
          <cell r="G3843">
            <v>12331.000000000002</v>
          </cell>
          <cell r="H3843">
            <v>6950</v>
          </cell>
          <cell r="I3843">
            <v>269213</v>
          </cell>
          <cell r="J3843">
            <v>80395000</v>
          </cell>
          <cell r="K3843">
            <v>45600</v>
          </cell>
        </row>
        <row r="3844">
          <cell r="A3844">
            <v>46113</v>
          </cell>
          <cell r="B3844" t="str">
            <v>Ammar Alqudsi</v>
          </cell>
          <cell r="E3844" t="str">
            <v>AUH</v>
          </cell>
          <cell r="F3844" t="str">
            <v>AM</v>
          </cell>
          <cell r="G3844">
            <v>594</v>
          </cell>
          <cell r="H3844">
            <v>250</v>
          </cell>
          <cell r="I3844">
            <v>15000</v>
          </cell>
          <cell r="J3844">
            <v>7025000</v>
          </cell>
          <cell r="K3844">
            <v>3000</v>
          </cell>
        </row>
        <row r="3845">
          <cell r="A3845">
            <v>46113</v>
          </cell>
          <cell r="B3845" t="str">
            <v>Khadija Salem</v>
          </cell>
          <cell r="E3845" t="str">
            <v>AUH</v>
          </cell>
          <cell r="F3845" t="str">
            <v>AM</v>
          </cell>
          <cell r="G3845">
            <v>230</v>
          </cell>
          <cell r="H3845">
            <v>100</v>
          </cell>
          <cell r="I3845">
            <v>5000</v>
          </cell>
          <cell r="J3845">
            <v>1967000.0000000002</v>
          </cell>
          <cell r="K3845">
            <v>2351</v>
          </cell>
        </row>
        <row r="3846">
          <cell r="A3846">
            <v>46113</v>
          </cell>
          <cell r="B3846" t="str">
            <v>Muhammad Nauman Khan</v>
          </cell>
          <cell r="E3846" t="str">
            <v>AUH</v>
          </cell>
          <cell r="F3846" t="str">
            <v>AM</v>
          </cell>
          <cell r="G3846">
            <v>220</v>
          </cell>
          <cell r="H3846">
            <v>140</v>
          </cell>
          <cell r="I3846">
            <v>15000</v>
          </cell>
          <cell r="J3846">
            <v>4215000</v>
          </cell>
          <cell r="K3846">
            <v>3500</v>
          </cell>
        </row>
        <row r="3847">
          <cell r="A3847">
            <v>46113</v>
          </cell>
          <cell r="B3847" t="str">
            <v>Osman Basuleman</v>
          </cell>
          <cell r="E3847" t="str">
            <v>AUH</v>
          </cell>
          <cell r="F3847" t="str">
            <v>AM</v>
          </cell>
          <cell r="G3847">
            <v>183</v>
          </cell>
          <cell r="H3847">
            <v>100</v>
          </cell>
          <cell r="I3847">
            <v>10000</v>
          </cell>
          <cell r="J3847">
            <v>3372000.0000000005</v>
          </cell>
          <cell r="K3847">
            <v>3000</v>
          </cell>
        </row>
        <row r="3848">
          <cell r="A3848">
            <v>46113</v>
          </cell>
          <cell r="B3848" t="str">
            <v>Othman Hassan</v>
          </cell>
          <cell r="E3848" t="str">
            <v>AUH</v>
          </cell>
          <cell r="F3848" t="str">
            <v>AM</v>
          </cell>
          <cell r="G3848">
            <v>100</v>
          </cell>
          <cell r="H3848">
            <v>75</v>
          </cell>
          <cell r="I3848">
            <v>9450</v>
          </cell>
          <cell r="J3848">
            <v>1967000.0000000002</v>
          </cell>
          <cell r="K3848">
            <v>3000</v>
          </cell>
        </row>
        <row r="3849">
          <cell r="A3849">
            <v>46113</v>
          </cell>
          <cell r="B3849" t="str">
            <v>Tarek Solh</v>
          </cell>
          <cell r="E3849" t="str">
            <v>AUH</v>
          </cell>
          <cell r="F3849" t="str">
            <v>AM</v>
          </cell>
          <cell r="G3849">
            <v>228</v>
          </cell>
          <cell r="H3849">
            <v>166</v>
          </cell>
          <cell r="I3849">
            <v>10000</v>
          </cell>
          <cell r="J3849">
            <v>9554000</v>
          </cell>
          <cell r="K3849">
            <v>3500</v>
          </cell>
        </row>
        <row r="3850">
          <cell r="A3850">
            <v>46113</v>
          </cell>
          <cell r="B3850" t="str">
            <v>Fatma Almheiri</v>
          </cell>
          <cell r="E3850" t="str">
            <v>AUH</v>
          </cell>
          <cell r="F3850" t="str">
            <v>D</v>
          </cell>
          <cell r="G3850">
            <v>1555</v>
          </cell>
          <cell r="H3850">
            <v>831</v>
          </cell>
          <cell r="I3850">
            <v>64450</v>
          </cell>
          <cell r="J3850">
            <v>28100000</v>
          </cell>
          <cell r="K3850">
            <v>18351</v>
          </cell>
        </row>
        <row r="3851">
          <cell r="A3851">
            <v>46113</v>
          </cell>
          <cell r="B3851" t="str">
            <v>Humaid Al Ali</v>
          </cell>
          <cell r="E3851" t="str">
            <v>DXB</v>
          </cell>
          <cell r="F3851" t="str">
            <v>AM</v>
          </cell>
          <cell r="G3851">
            <v>485</v>
          </cell>
          <cell r="H3851">
            <v>299</v>
          </cell>
          <cell r="I3851">
            <v>55000</v>
          </cell>
          <cell r="J3851">
            <v>8150000</v>
          </cell>
          <cell r="K3851">
            <v>4000</v>
          </cell>
        </row>
        <row r="3852">
          <cell r="A3852">
            <v>46113</v>
          </cell>
          <cell r="B3852" t="str">
            <v>Maen Okour</v>
          </cell>
          <cell r="E3852" t="str">
            <v>DXB</v>
          </cell>
          <cell r="F3852" t="str">
            <v>AM</v>
          </cell>
          <cell r="J3852">
            <v>7950000</v>
          </cell>
        </row>
        <row r="3853">
          <cell r="A3853">
            <v>46113</v>
          </cell>
          <cell r="B3853" t="str">
            <v>Muhannad Allow</v>
          </cell>
          <cell r="E3853" t="str">
            <v>DXB</v>
          </cell>
          <cell r="F3853" t="str">
            <v>AM</v>
          </cell>
          <cell r="J3853">
            <v>3300000</v>
          </cell>
        </row>
        <row r="3854">
          <cell r="A3854">
            <v>46113</v>
          </cell>
          <cell r="B3854" t="str">
            <v>Ramzi Gholmieh</v>
          </cell>
          <cell r="E3854" t="str">
            <v>DXB</v>
          </cell>
          <cell r="F3854" t="str">
            <v>AM</v>
          </cell>
          <cell r="G3854">
            <v>190</v>
          </cell>
          <cell r="H3854">
            <v>109</v>
          </cell>
          <cell r="I3854">
            <v>40000</v>
          </cell>
          <cell r="J3854">
            <v>4900000</v>
          </cell>
          <cell r="K3854">
            <v>4000</v>
          </cell>
        </row>
        <row r="3855">
          <cell r="A3855">
            <v>46113</v>
          </cell>
          <cell r="B3855" t="str">
            <v>Talal Ahmed Ali Alsharhan</v>
          </cell>
          <cell r="E3855" t="str">
            <v>DXB</v>
          </cell>
          <cell r="F3855" t="str">
            <v>AM</v>
          </cell>
          <cell r="G3855">
            <v>531</v>
          </cell>
          <cell r="H3855">
            <v>321</v>
          </cell>
          <cell r="I3855">
            <v>4000</v>
          </cell>
          <cell r="J3855">
            <v>5600000</v>
          </cell>
          <cell r="K3855">
            <v>4000</v>
          </cell>
        </row>
        <row r="3856">
          <cell r="A3856">
            <v>46113</v>
          </cell>
          <cell r="B3856" t="str">
            <v>Khalid AlSaabri</v>
          </cell>
          <cell r="E3856" t="str">
            <v>DXB</v>
          </cell>
          <cell r="F3856" t="str">
            <v>AM</v>
          </cell>
          <cell r="G3856">
            <v>65</v>
          </cell>
          <cell r="H3856">
            <v>40</v>
          </cell>
          <cell r="I3856">
            <v>2449</v>
          </cell>
          <cell r="J3856">
            <v>2100000</v>
          </cell>
          <cell r="K3856">
            <v>1130</v>
          </cell>
        </row>
        <row r="3857">
          <cell r="A3857">
            <v>46113</v>
          </cell>
          <cell r="B3857" t="str">
            <v>Vacant_GLK_D_DXB</v>
          </cell>
          <cell r="E3857" t="str">
            <v>DXB</v>
          </cell>
          <cell r="F3857" t="str">
            <v>D</v>
          </cell>
          <cell r="G3857">
            <v>1271</v>
          </cell>
          <cell r="H3857">
            <v>769</v>
          </cell>
          <cell r="I3857">
            <v>101449</v>
          </cell>
          <cell r="J3857">
            <v>32000000</v>
          </cell>
          <cell r="K3857">
            <v>13130</v>
          </cell>
        </row>
        <row r="3858">
          <cell r="A3858">
            <v>46113</v>
          </cell>
          <cell r="B3858" t="str">
            <v>Ahmad Alkurdi</v>
          </cell>
          <cell r="E3858" t="str">
            <v>F-NE</v>
          </cell>
          <cell r="F3858" t="str">
            <v>AM</v>
          </cell>
          <cell r="G3858">
            <v>110</v>
          </cell>
          <cell r="H3858">
            <v>80</v>
          </cell>
          <cell r="I3858">
            <v>7109</v>
          </cell>
          <cell r="J3858">
            <v>1215000</v>
          </cell>
          <cell r="K3858">
            <v>2586</v>
          </cell>
        </row>
        <row r="3859">
          <cell r="A3859">
            <v>46113</v>
          </cell>
          <cell r="B3859" t="str">
            <v>Bader Al Shehhi</v>
          </cell>
          <cell r="E3859" t="str">
            <v>F-NE</v>
          </cell>
          <cell r="F3859" t="str">
            <v>AM</v>
          </cell>
          <cell r="G3859">
            <v>400</v>
          </cell>
          <cell r="H3859">
            <v>306</v>
          </cell>
          <cell r="I3859">
            <v>10500</v>
          </cell>
          <cell r="J3859">
            <v>2430000</v>
          </cell>
          <cell r="K3859">
            <v>2650</v>
          </cell>
        </row>
        <row r="3860">
          <cell r="A3860">
            <v>46113</v>
          </cell>
          <cell r="B3860" t="str">
            <v>Bashar Al Adilee</v>
          </cell>
          <cell r="E3860" t="str">
            <v>F-NE</v>
          </cell>
          <cell r="F3860" t="str">
            <v>AM</v>
          </cell>
          <cell r="G3860">
            <v>120</v>
          </cell>
          <cell r="H3860">
            <v>100</v>
          </cell>
          <cell r="I3860">
            <v>10500</v>
          </cell>
          <cell r="J3860">
            <v>6804000.0000000009</v>
          </cell>
          <cell r="K3860">
            <v>2650</v>
          </cell>
        </row>
        <row r="3861">
          <cell r="A3861">
            <v>46113</v>
          </cell>
          <cell r="B3861" t="str">
            <v xml:space="preserve">Vacant </v>
          </cell>
          <cell r="E3861" t="str">
            <v>F-NE</v>
          </cell>
          <cell r="F3861" t="str">
            <v>AM</v>
          </cell>
        </row>
        <row r="3862">
          <cell r="A3862">
            <v>46113</v>
          </cell>
          <cell r="B3862" t="str">
            <v>Nader AlMustafa</v>
          </cell>
          <cell r="E3862" t="str">
            <v>F-NE</v>
          </cell>
          <cell r="F3862" t="str">
            <v>AM</v>
          </cell>
          <cell r="G3862">
            <v>600</v>
          </cell>
          <cell r="H3862">
            <v>400</v>
          </cell>
          <cell r="I3862">
            <v>10500</v>
          </cell>
          <cell r="J3862">
            <v>6075000</v>
          </cell>
          <cell r="K3862">
            <v>2650</v>
          </cell>
        </row>
        <row r="3863">
          <cell r="A3863">
            <v>46113</v>
          </cell>
          <cell r="B3863" t="str">
            <v>Yousef Al Baloushi</v>
          </cell>
          <cell r="E3863" t="str">
            <v>F-NE</v>
          </cell>
          <cell r="F3863" t="str">
            <v>AM</v>
          </cell>
          <cell r="G3863">
            <v>1880</v>
          </cell>
          <cell r="H3863">
            <v>956</v>
          </cell>
          <cell r="I3863">
            <v>10000</v>
          </cell>
          <cell r="J3863">
            <v>7776000</v>
          </cell>
          <cell r="K3863">
            <v>2650</v>
          </cell>
        </row>
        <row r="3864">
          <cell r="A3864">
            <v>46113</v>
          </cell>
          <cell r="B3864" t="str">
            <v>Majd Nairoukh</v>
          </cell>
          <cell r="E3864" t="str">
            <v>F-NE</v>
          </cell>
          <cell r="F3864" t="str">
            <v>D</v>
          </cell>
          <cell r="G3864">
            <v>3110</v>
          </cell>
          <cell r="H3864">
            <v>1842</v>
          </cell>
          <cell r="I3864">
            <v>48609</v>
          </cell>
          <cell r="J3864">
            <v>24300000</v>
          </cell>
          <cell r="K3864">
            <v>13186</v>
          </cell>
        </row>
        <row r="3865">
          <cell r="A3865">
            <v>46113</v>
          </cell>
          <cell r="B3865" t="str">
            <v>Abdulghaffar Alkhaja</v>
          </cell>
          <cell r="E3865" t="str">
            <v>HUNT</v>
          </cell>
          <cell r="F3865" t="str">
            <v>AM</v>
          </cell>
          <cell r="G3865">
            <v>25</v>
          </cell>
          <cell r="H3865">
            <v>20</v>
          </cell>
          <cell r="I3865">
            <v>2135</v>
          </cell>
          <cell r="J3865">
            <v>5000</v>
          </cell>
          <cell r="K3865">
            <v>459</v>
          </cell>
        </row>
        <row r="3866">
          <cell r="A3866">
            <v>46113</v>
          </cell>
          <cell r="B3866" t="str">
            <v>Abdulla Hussain</v>
          </cell>
          <cell r="E3866" t="str">
            <v>HUNT</v>
          </cell>
          <cell r="F3866" t="str">
            <v>AM</v>
          </cell>
          <cell r="G3866">
            <v>60</v>
          </cell>
          <cell r="H3866">
            <v>40</v>
          </cell>
          <cell r="I3866">
            <v>5000</v>
          </cell>
          <cell r="J3866">
            <v>1748415</v>
          </cell>
          <cell r="K3866">
            <v>1500</v>
          </cell>
        </row>
        <row r="3867">
          <cell r="A3867">
            <v>46113</v>
          </cell>
          <cell r="B3867" t="str">
            <v>Adnan Bashir</v>
          </cell>
          <cell r="E3867" t="str">
            <v>HUNT</v>
          </cell>
          <cell r="F3867" t="str">
            <v>AM</v>
          </cell>
          <cell r="G3867">
            <v>80</v>
          </cell>
          <cell r="H3867">
            <v>50</v>
          </cell>
          <cell r="I3867">
            <v>6500</v>
          </cell>
          <cell r="J3867">
            <v>2244106</v>
          </cell>
          <cell r="K3867">
            <v>2750</v>
          </cell>
        </row>
        <row r="3868">
          <cell r="A3868">
            <v>46113</v>
          </cell>
          <cell r="B3868" t="str">
            <v>Ahmed Shaddad</v>
          </cell>
          <cell r="E3868" t="str">
            <v>HUNT</v>
          </cell>
          <cell r="F3868" t="str">
            <v>AM</v>
          </cell>
          <cell r="G3868">
            <v>170</v>
          </cell>
          <cell r="H3868">
            <v>80</v>
          </cell>
          <cell r="I3868">
            <v>6500</v>
          </cell>
          <cell r="J3868">
            <v>2032649</v>
          </cell>
          <cell r="K3868">
            <v>2750</v>
          </cell>
        </row>
        <row r="3869">
          <cell r="A3869">
            <v>46113</v>
          </cell>
          <cell r="B3869" t="str">
            <v>Buti Bin Salmin</v>
          </cell>
          <cell r="E3869" t="str">
            <v>HUNT</v>
          </cell>
          <cell r="F3869" t="str">
            <v>AM</v>
          </cell>
          <cell r="G3869">
            <v>25</v>
          </cell>
          <cell r="H3869">
            <v>20</v>
          </cell>
          <cell r="I3869">
            <v>2135</v>
          </cell>
          <cell r="J3869">
            <v>5000</v>
          </cell>
          <cell r="K3869">
            <v>458</v>
          </cell>
        </row>
        <row r="3870">
          <cell r="A3870">
            <v>46113</v>
          </cell>
          <cell r="B3870" t="str">
            <v>Favas Kurinhilayil</v>
          </cell>
          <cell r="E3870" t="str">
            <v>HUNT</v>
          </cell>
          <cell r="F3870" t="str">
            <v>AM</v>
          </cell>
          <cell r="G3870">
            <v>155</v>
          </cell>
          <cell r="H3870">
            <v>80</v>
          </cell>
          <cell r="I3870">
            <v>6500</v>
          </cell>
          <cell r="J3870">
            <v>2589545</v>
          </cell>
          <cell r="K3870">
            <v>2750</v>
          </cell>
        </row>
        <row r="3871">
          <cell r="A3871">
            <v>46113</v>
          </cell>
          <cell r="B3871" t="str">
            <v>Ranjith Chandran</v>
          </cell>
          <cell r="E3871" t="str">
            <v>HUNT</v>
          </cell>
          <cell r="F3871" t="str">
            <v>AM</v>
          </cell>
          <cell r="G3871">
            <v>100</v>
          </cell>
          <cell r="H3871">
            <v>50</v>
          </cell>
          <cell r="I3871">
            <v>6500</v>
          </cell>
          <cell r="J3871">
            <v>1750285</v>
          </cell>
          <cell r="K3871">
            <v>2750</v>
          </cell>
        </row>
        <row r="3872">
          <cell r="A3872">
            <v>46113</v>
          </cell>
          <cell r="B3872" t="str">
            <v>Khalid Karmastaji</v>
          </cell>
          <cell r="E3872" t="str">
            <v>HUNT</v>
          </cell>
          <cell r="F3872" t="str">
            <v>D</v>
          </cell>
          <cell r="G3872">
            <v>615</v>
          </cell>
          <cell r="H3872">
            <v>340</v>
          </cell>
          <cell r="I3872">
            <v>35270</v>
          </cell>
          <cell r="J3872">
            <v>10375000</v>
          </cell>
          <cell r="K3872">
            <v>13417</v>
          </cell>
        </row>
        <row r="3873">
          <cell r="A3873">
            <v>46113</v>
          </cell>
          <cell r="B3873" t="str">
            <v>Amjad Ilwan</v>
          </cell>
          <cell r="E3873" t="str">
            <v>KEY-A</v>
          </cell>
          <cell r="F3873" t="str">
            <v>AM</v>
          </cell>
          <cell r="G3873">
            <v>123</v>
          </cell>
          <cell r="H3873">
            <v>25</v>
          </cell>
          <cell r="I3873">
            <v>30000</v>
          </cell>
          <cell r="J3873">
            <v>3755694</v>
          </cell>
          <cell r="K3873">
            <v>2000</v>
          </cell>
        </row>
        <row r="3874">
          <cell r="A3874">
            <v>46113</v>
          </cell>
          <cell r="B3874" t="str">
            <v>Ahemar Khan</v>
          </cell>
          <cell r="E3874" t="str">
            <v>KEY-A</v>
          </cell>
          <cell r="F3874" t="str">
            <v>AM</v>
          </cell>
          <cell r="J3874">
            <v>17891600</v>
          </cell>
        </row>
        <row r="3875">
          <cell r="A3875">
            <v>46113</v>
          </cell>
          <cell r="B3875" t="str">
            <v>Fadi Saleh</v>
          </cell>
          <cell r="E3875" t="str">
            <v>KEY-A</v>
          </cell>
          <cell r="F3875" t="str">
            <v>AM</v>
          </cell>
          <cell r="J3875">
            <v>7890741</v>
          </cell>
        </row>
        <row r="3876">
          <cell r="A3876">
            <v>46113</v>
          </cell>
          <cell r="B3876" t="str">
            <v>Ninette Hajjar</v>
          </cell>
          <cell r="E3876" t="str">
            <v>KEY-A</v>
          </cell>
          <cell r="F3876" t="str">
            <v>AM</v>
          </cell>
          <cell r="J3876">
            <v>4736127</v>
          </cell>
        </row>
        <row r="3877">
          <cell r="A3877">
            <v>46113</v>
          </cell>
          <cell r="B3877" t="str">
            <v>Rijith Menon</v>
          </cell>
          <cell r="E3877" t="str">
            <v>KEY-A</v>
          </cell>
          <cell r="F3877" t="str">
            <v>AM</v>
          </cell>
          <cell r="G3877">
            <v>125</v>
          </cell>
          <cell r="H3877">
            <v>40</v>
          </cell>
          <cell r="I3877">
            <v>20000</v>
          </cell>
          <cell r="J3877">
            <v>5689901</v>
          </cell>
          <cell r="K3877">
            <v>13806</v>
          </cell>
        </row>
        <row r="3878">
          <cell r="A3878">
            <v>46113</v>
          </cell>
          <cell r="B3878" t="str">
            <v>Suleiman Wanni</v>
          </cell>
          <cell r="E3878" t="str">
            <v>KEY-A</v>
          </cell>
          <cell r="F3878" t="str">
            <v>AM</v>
          </cell>
          <cell r="G3878">
            <v>125</v>
          </cell>
          <cell r="H3878">
            <v>50</v>
          </cell>
          <cell r="I3878">
            <v>40000</v>
          </cell>
          <cell r="J3878">
            <v>3814546</v>
          </cell>
          <cell r="K3878">
            <v>4622</v>
          </cell>
        </row>
        <row r="3879">
          <cell r="A3879">
            <v>46113</v>
          </cell>
          <cell r="B3879" t="str">
            <v>Waseem Suhaf</v>
          </cell>
          <cell r="E3879" t="str">
            <v>KEY-A</v>
          </cell>
          <cell r="F3879" t="str">
            <v>AM</v>
          </cell>
          <cell r="G3879">
            <v>125</v>
          </cell>
          <cell r="H3879">
            <v>38</v>
          </cell>
          <cell r="I3879">
            <v>30000</v>
          </cell>
          <cell r="J3879">
            <v>5698877</v>
          </cell>
          <cell r="K3879">
            <v>2035</v>
          </cell>
        </row>
        <row r="3880">
          <cell r="A3880">
            <v>46113</v>
          </cell>
          <cell r="B3880" t="str">
            <v>Hany Jawee</v>
          </cell>
          <cell r="E3880" t="str">
            <v>KEY-A</v>
          </cell>
          <cell r="F3880" t="str">
            <v>D</v>
          </cell>
          <cell r="G3880">
            <v>498</v>
          </cell>
          <cell r="H3880">
            <v>153</v>
          </cell>
          <cell r="I3880">
            <v>692940</v>
          </cell>
          <cell r="J3880">
            <v>49477486</v>
          </cell>
          <cell r="K3880">
            <v>22463</v>
          </cell>
        </row>
        <row r="3881">
          <cell r="A3881">
            <v>46113</v>
          </cell>
          <cell r="B3881" t="str">
            <v>Abdel Azim Sharabati</v>
          </cell>
          <cell r="E3881" t="str">
            <v>KEY-B</v>
          </cell>
          <cell r="F3881" t="str">
            <v>AM</v>
          </cell>
          <cell r="G3881">
            <v>180</v>
          </cell>
          <cell r="H3881">
            <v>80</v>
          </cell>
          <cell r="I3881">
            <v>15000</v>
          </cell>
          <cell r="J3881">
            <v>4470720</v>
          </cell>
          <cell r="K3881">
            <v>4115</v>
          </cell>
        </row>
        <row r="3882">
          <cell r="A3882">
            <v>46113</v>
          </cell>
          <cell r="B3882" t="str">
            <v>Abraham Cherian</v>
          </cell>
          <cell r="E3882" t="str">
            <v>KEY-B</v>
          </cell>
          <cell r="F3882" t="str">
            <v>AM</v>
          </cell>
          <cell r="G3882">
            <v>170</v>
          </cell>
          <cell r="H3882">
            <v>71</v>
          </cell>
          <cell r="I3882">
            <v>20000</v>
          </cell>
          <cell r="J3882">
            <v>17941600</v>
          </cell>
          <cell r="K3882">
            <v>3216</v>
          </cell>
        </row>
        <row r="3883">
          <cell r="A3883">
            <v>46113</v>
          </cell>
          <cell r="B3883" t="str">
            <v>Arjun Subaraman</v>
          </cell>
          <cell r="E3883" t="str">
            <v>KEY-B</v>
          </cell>
          <cell r="F3883" t="str">
            <v>AM</v>
          </cell>
          <cell r="G3883">
            <v>70</v>
          </cell>
          <cell r="H3883">
            <v>70</v>
          </cell>
          <cell r="I3883">
            <v>15000</v>
          </cell>
          <cell r="J3883">
            <v>4173930</v>
          </cell>
          <cell r="K3883">
            <v>2743</v>
          </cell>
        </row>
        <row r="3884">
          <cell r="A3884">
            <v>46113</v>
          </cell>
          <cell r="B3884" t="str">
            <v>Ehab Hajou</v>
          </cell>
          <cell r="E3884" t="str">
            <v>KEY-B</v>
          </cell>
          <cell r="F3884" t="str">
            <v>AM</v>
          </cell>
          <cell r="G3884">
            <v>150</v>
          </cell>
          <cell r="H3884">
            <v>70</v>
          </cell>
          <cell r="I3884">
            <v>10000</v>
          </cell>
          <cell r="J3884">
            <v>2735078</v>
          </cell>
          <cell r="K3884">
            <v>5295</v>
          </cell>
        </row>
        <row r="3885">
          <cell r="A3885">
            <v>46113</v>
          </cell>
          <cell r="B3885" t="str">
            <v>Ghassan Fouany</v>
          </cell>
          <cell r="E3885" t="str">
            <v>KEY-B</v>
          </cell>
          <cell r="F3885" t="str">
            <v>AM</v>
          </cell>
          <cell r="G3885">
            <v>150</v>
          </cell>
          <cell r="H3885">
            <v>70</v>
          </cell>
          <cell r="I3885">
            <v>10000</v>
          </cell>
          <cell r="J3885">
            <v>2920702</v>
          </cell>
          <cell r="K3885">
            <v>3122</v>
          </cell>
        </row>
        <row r="3886">
          <cell r="A3886">
            <v>46113</v>
          </cell>
          <cell r="B3886" t="str">
            <v>Inayat Fazili</v>
          </cell>
          <cell r="E3886" t="str">
            <v>KEY-B</v>
          </cell>
          <cell r="F3886" t="str">
            <v>AM</v>
          </cell>
          <cell r="G3886">
            <v>200</v>
          </cell>
          <cell r="H3886">
            <v>70</v>
          </cell>
          <cell r="I3886">
            <v>10000</v>
          </cell>
          <cell r="J3886">
            <v>6040660</v>
          </cell>
          <cell r="K3886">
            <v>2933</v>
          </cell>
        </row>
        <row r="3887">
          <cell r="A3887">
            <v>46113</v>
          </cell>
          <cell r="B3887" t="str">
            <v>Mohamad Labban</v>
          </cell>
          <cell r="E3887" t="str">
            <v>KEY-B</v>
          </cell>
          <cell r="F3887" t="str">
            <v>AM</v>
          </cell>
          <cell r="G3887">
            <v>164</v>
          </cell>
          <cell r="H3887">
            <v>70</v>
          </cell>
          <cell r="I3887">
            <v>12000</v>
          </cell>
          <cell r="J3887">
            <v>4578738</v>
          </cell>
          <cell r="K3887">
            <v>6383</v>
          </cell>
        </row>
        <row r="3888">
          <cell r="A3888">
            <v>46113</v>
          </cell>
          <cell r="B3888" t="str">
            <v>Nadeem Rasheed</v>
          </cell>
          <cell r="E3888" t="str">
            <v>KEY-B</v>
          </cell>
          <cell r="F3888" t="str">
            <v>AM</v>
          </cell>
          <cell r="G3888">
            <v>200</v>
          </cell>
          <cell r="H3888">
            <v>80</v>
          </cell>
          <cell r="I3888">
            <v>16194</v>
          </cell>
          <cell r="J3888">
            <v>4323897</v>
          </cell>
          <cell r="K3888">
            <v>2129</v>
          </cell>
        </row>
        <row r="3889">
          <cell r="A3889">
            <v>46113</v>
          </cell>
          <cell r="B3889" t="str">
            <v>Mazen Adem</v>
          </cell>
          <cell r="E3889" t="str">
            <v>KEY-B</v>
          </cell>
          <cell r="F3889" t="str">
            <v>D</v>
          </cell>
          <cell r="G3889">
            <v>1284</v>
          </cell>
          <cell r="H3889">
            <v>581</v>
          </cell>
          <cell r="I3889">
            <v>108194</v>
          </cell>
          <cell r="J3889">
            <v>47185325</v>
          </cell>
          <cell r="K3889">
            <v>29936</v>
          </cell>
        </row>
        <row r="3890">
          <cell r="A3890">
            <v>46113</v>
          </cell>
          <cell r="B3890" t="str">
            <v>Ahmad Ozdamir</v>
          </cell>
          <cell r="E3890" t="str">
            <v>LE</v>
          </cell>
          <cell r="F3890" t="str">
            <v>AM</v>
          </cell>
          <cell r="G3890">
            <v>300</v>
          </cell>
          <cell r="H3890">
            <v>142</v>
          </cell>
          <cell r="I3890">
            <v>8000</v>
          </cell>
          <cell r="J3890">
            <v>3196873</v>
          </cell>
          <cell r="K3890">
            <v>3206.5</v>
          </cell>
        </row>
        <row r="3891">
          <cell r="A3891">
            <v>46113</v>
          </cell>
          <cell r="B3891" t="str">
            <v>Eslam Hassan</v>
          </cell>
          <cell r="E3891" t="str">
            <v>LE</v>
          </cell>
          <cell r="F3891" t="str">
            <v>AM</v>
          </cell>
          <cell r="G3891">
            <v>300</v>
          </cell>
          <cell r="H3891">
            <v>150</v>
          </cell>
          <cell r="I3891">
            <v>10000</v>
          </cell>
          <cell r="J3891">
            <v>3951240</v>
          </cell>
          <cell r="K3891">
            <v>3206.5</v>
          </cell>
        </row>
        <row r="3892">
          <cell r="A3892">
            <v>46113</v>
          </cell>
          <cell r="B3892" t="str">
            <v>Khaled Abdelaziz</v>
          </cell>
          <cell r="E3892" t="str">
            <v>LE</v>
          </cell>
          <cell r="F3892" t="str">
            <v>AM</v>
          </cell>
          <cell r="G3892">
            <v>400</v>
          </cell>
          <cell r="H3892">
            <v>150</v>
          </cell>
          <cell r="I3892">
            <v>7000</v>
          </cell>
          <cell r="J3892">
            <v>3113705</v>
          </cell>
          <cell r="K3892">
            <v>3206.5</v>
          </cell>
        </row>
        <row r="3893">
          <cell r="A3893">
            <v>46113</v>
          </cell>
          <cell r="B3893" t="str">
            <v>Mohamed Mostafa</v>
          </cell>
          <cell r="E3893" t="str">
            <v>LE</v>
          </cell>
          <cell r="F3893" t="str">
            <v>AM</v>
          </cell>
          <cell r="G3893">
            <v>250</v>
          </cell>
          <cell r="H3893">
            <v>150</v>
          </cell>
          <cell r="I3893">
            <v>10000</v>
          </cell>
          <cell r="J3893">
            <v>2969297</v>
          </cell>
          <cell r="K3893">
            <v>3206.5</v>
          </cell>
        </row>
        <row r="3894">
          <cell r="A3894">
            <v>46113</v>
          </cell>
          <cell r="B3894" t="str">
            <v>Mushahid Hussain Syed</v>
          </cell>
          <cell r="E3894" t="str">
            <v>LE</v>
          </cell>
          <cell r="F3894" t="str">
            <v>AM</v>
          </cell>
          <cell r="G3894">
            <v>260</v>
          </cell>
          <cell r="H3894">
            <v>150</v>
          </cell>
          <cell r="I3894">
            <v>4650</v>
          </cell>
          <cell r="J3894">
            <v>3357819</v>
          </cell>
          <cell r="K3894">
            <v>3206.5</v>
          </cell>
        </row>
        <row r="3895">
          <cell r="A3895">
            <v>46113</v>
          </cell>
          <cell r="B3895" t="str">
            <v>Peter Sedrak</v>
          </cell>
          <cell r="E3895" t="str">
            <v>LE</v>
          </cell>
          <cell r="F3895" t="str">
            <v>AM</v>
          </cell>
          <cell r="G3895">
            <v>260</v>
          </cell>
          <cell r="H3895">
            <v>150</v>
          </cell>
          <cell r="I3895">
            <v>15000</v>
          </cell>
          <cell r="J3895">
            <v>3669858</v>
          </cell>
          <cell r="K3895">
            <v>3206.5</v>
          </cell>
        </row>
        <row r="3896">
          <cell r="A3896">
            <v>46113</v>
          </cell>
          <cell r="B3896" t="str">
            <v>Ramy Abdel Fattah</v>
          </cell>
          <cell r="E3896" t="str">
            <v>LE</v>
          </cell>
          <cell r="F3896" t="str">
            <v>AM</v>
          </cell>
          <cell r="G3896">
            <v>256</v>
          </cell>
          <cell r="H3896">
            <v>150</v>
          </cell>
          <cell r="I3896">
            <v>15000</v>
          </cell>
          <cell r="J3896">
            <v>3391647</v>
          </cell>
          <cell r="K3896">
            <v>3206.5</v>
          </cell>
        </row>
        <row r="3897">
          <cell r="A3897">
            <v>46113</v>
          </cell>
          <cell r="B3897" t="str">
            <v>Shabbir Lacewala</v>
          </cell>
          <cell r="E3897" t="str">
            <v>LE</v>
          </cell>
          <cell r="F3897" t="str">
            <v>AM</v>
          </cell>
          <cell r="G3897">
            <v>256</v>
          </cell>
          <cell r="H3897">
            <v>150</v>
          </cell>
          <cell r="I3897">
            <v>10000</v>
          </cell>
          <cell r="J3897">
            <v>4971920</v>
          </cell>
          <cell r="K3897">
            <v>3206.5</v>
          </cell>
        </row>
        <row r="3898">
          <cell r="A3898">
            <v>46113</v>
          </cell>
          <cell r="B3898" t="str">
            <v>Muhammad Shahzad Hasan</v>
          </cell>
          <cell r="E3898" t="str">
            <v>LE</v>
          </cell>
          <cell r="F3898" t="str">
            <v>D</v>
          </cell>
          <cell r="G3898">
            <v>2282</v>
          </cell>
          <cell r="H3898">
            <v>1192</v>
          </cell>
          <cell r="I3898">
            <v>79650</v>
          </cell>
          <cell r="J3898">
            <v>28622359</v>
          </cell>
          <cell r="K3898">
            <v>25652</v>
          </cell>
        </row>
        <row r="3899">
          <cell r="A3899" t="str">
            <v>May-26 &amp; Jun-26</v>
          </cell>
          <cell r="B3899" t="str">
            <v>Ammar Alqudsi</v>
          </cell>
          <cell r="E3899" t="str">
            <v>AUH</v>
          </cell>
          <cell r="F3899" t="str">
            <v>AM</v>
          </cell>
          <cell r="G3899">
            <v>2363</v>
          </cell>
          <cell r="H3899">
            <v>1300</v>
          </cell>
          <cell r="I3899">
            <v>53826</v>
          </cell>
          <cell r="J3899">
            <v>14495345</v>
          </cell>
          <cell r="K3899">
            <v>11631.338820301782</v>
          </cell>
        </row>
        <row r="3900">
          <cell r="A3900" t="str">
            <v>May-26 &amp; Jun-26</v>
          </cell>
          <cell r="B3900" t="str">
            <v>Khadija Salem</v>
          </cell>
          <cell r="E3900" t="str">
            <v>AUH</v>
          </cell>
          <cell r="F3900" t="str">
            <v>AM</v>
          </cell>
          <cell r="G3900">
            <v>846</v>
          </cell>
          <cell r="H3900">
            <v>275</v>
          </cell>
          <cell r="I3900">
            <v>20000</v>
          </cell>
          <cell r="J3900">
            <v>4189487</v>
          </cell>
          <cell r="K3900">
            <v>616.50205761316874</v>
          </cell>
        </row>
        <row r="3901">
          <cell r="A3901" t="str">
            <v>May-26 &amp; Jun-26</v>
          </cell>
          <cell r="B3901" t="str">
            <v>Muhammad Nauman Khan</v>
          </cell>
          <cell r="E3901" t="str">
            <v>AUH</v>
          </cell>
          <cell r="F3901" t="str">
            <v>AM</v>
          </cell>
          <cell r="G3901">
            <v>896</v>
          </cell>
          <cell r="H3901">
            <v>600</v>
          </cell>
          <cell r="I3901">
            <v>40000</v>
          </cell>
          <cell r="J3901">
            <v>7731934</v>
          </cell>
          <cell r="K3901">
            <v>3411.3113854595335</v>
          </cell>
        </row>
        <row r="3902">
          <cell r="A3902" t="str">
            <v>May-26 &amp; Jun-26</v>
          </cell>
          <cell r="B3902" t="str">
            <v>Osman Basuleman</v>
          </cell>
          <cell r="E3902" t="str">
            <v>AUH</v>
          </cell>
          <cell r="F3902" t="str">
            <v>AM</v>
          </cell>
          <cell r="G3902">
            <v>730</v>
          </cell>
          <cell r="H3902">
            <v>275</v>
          </cell>
          <cell r="I3902">
            <v>40000</v>
          </cell>
          <cell r="J3902">
            <v>6732889</v>
          </cell>
          <cell r="K3902">
            <v>3616.8120713305898</v>
          </cell>
        </row>
        <row r="3903">
          <cell r="A3903" t="str">
            <v>May-26 &amp; Jun-26</v>
          </cell>
          <cell r="B3903" t="str">
            <v>Othman Hassan</v>
          </cell>
          <cell r="E3903" t="str">
            <v>AUH</v>
          </cell>
          <cell r="F3903" t="str">
            <v>AM</v>
          </cell>
          <cell r="G3903">
            <v>404</v>
          </cell>
          <cell r="H3903">
            <v>275</v>
          </cell>
          <cell r="I3903">
            <v>40000</v>
          </cell>
          <cell r="J3903">
            <v>4242391</v>
          </cell>
          <cell r="K3903">
            <v>3370.2112482853227</v>
          </cell>
        </row>
        <row r="3904">
          <cell r="A3904" t="str">
            <v>May-26 &amp; Jun-26</v>
          </cell>
          <cell r="B3904" t="str">
            <v>Tarek Solh</v>
          </cell>
          <cell r="E3904" t="str">
            <v>AUH</v>
          </cell>
          <cell r="F3904" t="str">
            <v>AM</v>
          </cell>
          <cell r="G3904">
            <v>792</v>
          </cell>
          <cell r="H3904">
            <v>272</v>
          </cell>
          <cell r="I3904">
            <v>40000</v>
          </cell>
          <cell r="J3904">
            <v>18904591</v>
          </cell>
          <cell r="K3904">
            <v>7315.8244170096023</v>
          </cell>
        </row>
        <row r="3905">
          <cell r="A3905" t="str">
            <v>May-26 &amp; Jun-26</v>
          </cell>
          <cell r="B3905" t="str">
            <v>Fatma Almheiri</v>
          </cell>
          <cell r="E3905" t="str">
            <v>AUH</v>
          </cell>
          <cell r="F3905" t="str">
            <v>D</v>
          </cell>
          <cell r="G3905">
            <v>6031</v>
          </cell>
          <cell r="H3905">
            <v>2997</v>
          </cell>
          <cell r="I3905">
            <v>233826</v>
          </cell>
          <cell r="J3905">
            <v>56296637</v>
          </cell>
          <cell r="K3905">
            <v>29962</v>
          </cell>
        </row>
        <row r="3906">
          <cell r="A3906" t="str">
            <v>May-26 &amp; Jun-26</v>
          </cell>
          <cell r="B3906" t="str">
            <v>Humaid Al Ali</v>
          </cell>
          <cell r="E3906" t="str">
            <v>DXB</v>
          </cell>
          <cell r="F3906" t="str">
            <v>AM</v>
          </cell>
          <cell r="G3906">
            <v>1450</v>
          </cell>
          <cell r="H3906">
            <v>900</v>
          </cell>
          <cell r="I3906">
            <v>92000</v>
          </cell>
          <cell r="J3906">
            <v>16500000</v>
          </cell>
          <cell r="K3906">
            <v>6146</v>
          </cell>
        </row>
        <row r="3907">
          <cell r="A3907" t="str">
            <v>May-26 &amp; Jun-26</v>
          </cell>
          <cell r="B3907" t="str">
            <v>Maen Okour</v>
          </cell>
          <cell r="E3907" t="str">
            <v>DXB</v>
          </cell>
          <cell r="F3907" t="str">
            <v>AM</v>
          </cell>
          <cell r="G3907" t="str">
            <v>-</v>
          </cell>
          <cell r="H3907" t="str">
            <v>-</v>
          </cell>
          <cell r="I3907" t="str">
            <v>-</v>
          </cell>
          <cell r="J3907">
            <v>15500000</v>
          </cell>
          <cell r="K3907" t="str">
            <v>-</v>
          </cell>
        </row>
        <row r="3908">
          <cell r="A3908" t="str">
            <v>May-26 &amp; Jun-26</v>
          </cell>
          <cell r="B3908" t="str">
            <v>Muhannad Allow</v>
          </cell>
          <cell r="E3908" t="str">
            <v>DXB</v>
          </cell>
          <cell r="F3908" t="str">
            <v>AM</v>
          </cell>
          <cell r="G3908" t="str">
            <v>-</v>
          </cell>
          <cell r="H3908" t="str">
            <v>-</v>
          </cell>
          <cell r="I3908" t="str">
            <v>-</v>
          </cell>
          <cell r="J3908">
            <v>6750000</v>
          </cell>
          <cell r="K3908" t="str">
            <v>-</v>
          </cell>
        </row>
        <row r="3909">
          <cell r="A3909" t="str">
            <v>May-26 &amp; Jun-26</v>
          </cell>
          <cell r="B3909" t="str">
            <v>Ramzi Gholmieh</v>
          </cell>
          <cell r="E3909" t="str">
            <v>DXB</v>
          </cell>
          <cell r="F3909" t="str">
            <v>AM</v>
          </cell>
          <cell r="G3909">
            <v>800</v>
          </cell>
          <cell r="H3909">
            <v>497</v>
          </cell>
          <cell r="I3909">
            <v>92000</v>
          </cell>
          <cell r="J3909">
            <v>10000000</v>
          </cell>
          <cell r="K3909">
            <v>6146</v>
          </cell>
        </row>
        <row r="3910">
          <cell r="A3910" t="str">
            <v>May-26 &amp; Jun-26</v>
          </cell>
          <cell r="B3910" t="str">
            <v>Talal Ahmed Ali Alsharhan</v>
          </cell>
          <cell r="E3910" t="str">
            <v>DXB</v>
          </cell>
          <cell r="F3910" t="str">
            <v>AM</v>
          </cell>
          <cell r="G3910">
            <v>2200</v>
          </cell>
          <cell r="H3910">
            <v>1365</v>
          </cell>
          <cell r="I3910">
            <v>92000</v>
          </cell>
          <cell r="J3910">
            <v>11400000</v>
          </cell>
          <cell r="K3910">
            <v>6146</v>
          </cell>
        </row>
        <row r="3911">
          <cell r="A3911" t="str">
            <v>May-26 &amp; Jun-26</v>
          </cell>
          <cell r="B3911" t="str">
            <v>Khalid AlSaabri</v>
          </cell>
          <cell r="E3911" t="str">
            <v>DXB</v>
          </cell>
          <cell r="F3911" t="str">
            <v>AM</v>
          </cell>
          <cell r="G3911">
            <v>191</v>
          </cell>
          <cell r="H3911">
            <v>119</v>
          </cell>
          <cell r="I3911">
            <v>16320</v>
          </cell>
          <cell r="J3911">
            <v>3960049</v>
          </cell>
          <cell r="K3911">
            <v>3000</v>
          </cell>
        </row>
        <row r="3912">
          <cell r="A3912" t="str">
            <v>May-26 &amp; Jun-26</v>
          </cell>
          <cell r="B3912" t="str">
            <v>Vacant_GLK_D_DXB</v>
          </cell>
          <cell r="E3912" t="str">
            <v>DXB</v>
          </cell>
          <cell r="F3912" t="str">
            <v>D</v>
          </cell>
          <cell r="G3912">
            <v>4641</v>
          </cell>
          <cell r="H3912">
            <v>2881</v>
          </cell>
          <cell r="I3912">
            <v>292320</v>
          </cell>
          <cell r="J3912">
            <v>64110049</v>
          </cell>
          <cell r="K3912">
            <v>21438</v>
          </cell>
        </row>
        <row r="3913">
          <cell r="A3913" t="str">
            <v>May-26 &amp; Jun-26</v>
          </cell>
          <cell r="B3913" t="str">
            <v>Ahmad Alkurdi</v>
          </cell>
          <cell r="E3913" t="str">
            <v>F-NE</v>
          </cell>
          <cell r="F3913" t="str">
            <v>AM</v>
          </cell>
          <cell r="G3913">
            <v>419</v>
          </cell>
          <cell r="H3913">
            <v>250</v>
          </cell>
          <cell r="I3913">
            <v>70000</v>
          </cell>
          <cell r="J3913">
            <v>2434178</v>
          </cell>
          <cell r="K3913">
            <v>5530</v>
          </cell>
        </row>
        <row r="3914">
          <cell r="A3914" t="str">
            <v>May-26 &amp; Jun-26</v>
          </cell>
          <cell r="B3914" t="str">
            <v>Bader Al Shehhi</v>
          </cell>
          <cell r="E3914" t="str">
            <v>F-NE</v>
          </cell>
          <cell r="F3914" t="str">
            <v>AM</v>
          </cell>
          <cell r="G3914">
            <v>1637</v>
          </cell>
          <cell r="H3914">
            <v>1208</v>
          </cell>
          <cell r="I3914">
            <v>15000</v>
          </cell>
          <cell r="J3914">
            <v>5355193</v>
          </cell>
          <cell r="K3914">
            <v>3500</v>
          </cell>
        </row>
        <row r="3915">
          <cell r="A3915" t="str">
            <v>May-26 &amp; Jun-26</v>
          </cell>
          <cell r="B3915" t="str">
            <v>Bashar Al Adilee</v>
          </cell>
          <cell r="E3915" t="str">
            <v>F-NE</v>
          </cell>
          <cell r="F3915" t="str">
            <v>AM</v>
          </cell>
          <cell r="G3915">
            <v>509</v>
          </cell>
          <cell r="H3915">
            <v>350</v>
          </cell>
          <cell r="I3915">
            <v>20000</v>
          </cell>
          <cell r="J3915">
            <v>14118235</v>
          </cell>
          <cell r="K3915">
            <v>3500</v>
          </cell>
        </row>
        <row r="3916">
          <cell r="A3916" t="str">
            <v>May-26 &amp; Jun-26</v>
          </cell>
          <cell r="B3916" t="str">
            <v xml:space="preserve">Vacant </v>
          </cell>
          <cell r="E3916" t="str">
            <v>F-NE</v>
          </cell>
          <cell r="F3916" t="str">
            <v>AM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</row>
        <row r="3917">
          <cell r="A3917" t="str">
            <v>May-26 &amp; Jun-26</v>
          </cell>
          <cell r="B3917" t="str">
            <v>Nader AlMustafa</v>
          </cell>
          <cell r="E3917" t="str">
            <v>F-NE</v>
          </cell>
          <cell r="F3917" t="str">
            <v>AM</v>
          </cell>
          <cell r="G3917">
            <v>2735</v>
          </cell>
          <cell r="H3917">
            <v>850</v>
          </cell>
          <cell r="I3917">
            <v>40000</v>
          </cell>
          <cell r="J3917">
            <v>12170892</v>
          </cell>
          <cell r="K3917">
            <v>5500</v>
          </cell>
        </row>
        <row r="3918">
          <cell r="A3918" t="str">
            <v>May-26 &amp; Jun-26</v>
          </cell>
          <cell r="B3918" t="str">
            <v>Yousef Al Baloushi</v>
          </cell>
          <cell r="E3918" t="str">
            <v>F-NE</v>
          </cell>
          <cell r="F3918" t="str">
            <v>AM</v>
          </cell>
          <cell r="G3918">
            <v>6367</v>
          </cell>
          <cell r="H3918">
            <v>4555</v>
          </cell>
          <cell r="I3918">
            <v>28148</v>
          </cell>
          <cell r="J3918">
            <v>14605071</v>
          </cell>
          <cell r="K3918">
            <v>3500</v>
          </cell>
        </row>
        <row r="3919">
          <cell r="A3919" t="str">
            <v>May-26 &amp; Jun-26</v>
          </cell>
          <cell r="B3919" t="str">
            <v>Majd Nairoukh</v>
          </cell>
          <cell r="E3919" t="str">
            <v>F-NE</v>
          </cell>
          <cell r="F3919" t="str">
            <v>D</v>
          </cell>
          <cell r="G3919">
            <v>11667</v>
          </cell>
          <cell r="H3919">
            <v>7213</v>
          </cell>
          <cell r="I3919">
            <v>173148</v>
          </cell>
          <cell r="J3919">
            <v>48683569</v>
          </cell>
          <cell r="K3919">
            <v>21530</v>
          </cell>
        </row>
        <row r="3920">
          <cell r="A3920" t="str">
            <v>May-26 &amp; Jun-26</v>
          </cell>
          <cell r="B3920" t="str">
            <v>Abdulghaffar Alkhaja</v>
          </cell>
          <cell r="E3920" t="str">
            <v>HUNT</v>
          </cell>
          <cell r="F3920" t="str">
            <v>AM</v>
          </cell>
          <cell r="G3920">
            <v>276</v>
          </cell>
          <cell r="H3920">
            <v>150</v>
          </cell>
          <cell r="I3920">
            <v>8000</v>
          </cell>
          <cell r="J3920">
            <v>623570</v>
          </cell>
          <cell r="K3920">
            <v>2967</v>
          </cell>
        </row>
        <row r="3921">
          <cell r="A3921" t="str">
            <v>May-26 &amp; Jun-26</v>
          </cell>
          <cell r="B3921" t="str">
            <v>Abdulla Hussain</v>
          </cell>
          <cell r="E3921" t="str">
            <v>HUNT</v>
          </cell>
          <cell r="F3921" t="str">
            <v>AM</v>
          </cell>
          <cell r="G3921">
            <v>280</v>
          </cell>
          <cell r="H3921">
            <v>150</v>
          </cell>
          <cell r="I3921">
            <v>8090</v>
          </cell>
          <cell r="J3921">
            <v>2909995</v>
          </cell>
          <cell r="K3921">
            <v>2970</v>
          </cell>
        </row>
        <row r="3922">
          <cell r="A3922" t="str">
            <v>May-26 &amp; Jun-26</v>
          </cell>
          <cell r="B3922" t="str">
            <v>Adnan Bashir</v>
          </cell>
          <cell r="E3922" t="str">
            <v>HUNT</v>
          </cell>
          <cell r="F3922" t="str">
            <v>AM</v>
          </cell>
          <cell r="G3922">
            <v>320</v>
          </cell>
          <cell r="H3922">
            <v>150</v>
          </cell>
          <cell r="I3922">
            <v>10200</v>
          </cell>
          <cell r="J3922">
            <v>4364993</v>
          </cell>
          <cell r="K3922">
            <v>3250</v>
          </cell>
        </row>
        <row r="3923">
          <cell r="A3923" t="str">
            <v>May-26 &amp; Jun-26</v>
          </cell>
          <cell r="B3923" t="str">
            <v>Ahmed Shaddad</v>
          </cell>
          <cell r="E3923" t="str">
            <v>HUNT</v>
          </cell>
          <cell r="F3923" t="str">
            <v>AM</v>
          </cell>
          <cell r="G3923">
            <v>320</v>
          </cell>
          <cell r="H3923">
            <v>150</v>
          </cell>
          <cell r="I3923">
            <v>10200</v>
          </cell>
          <cell r="J3923">
            <v>3949279</v>
          </cell>
          <cell r="K3923">
            <v>3250</v>
          </cell>
        </row>
        <row r="3924">
          <cell r="A3924" t="str">
            <v>May-26 &amp; Jun-26</v>
          </cell>
          <cell r="B3924" t="str">
            <v>Buti Bin Salmin</v>
          </cell>
          <cell r="E3924" t="str">
            <v>HUNT</v>
          </cell>
          <cell r="F3924" t="str">
            <v>AM</v>
          </cell>
          <cell r="G3924">
            <v>275</v>
          </cell>
          <cell r="H3924">
            <v>150</v>
          </cell>
          <cell r="I3924">
            <v>8000</v>
          </cell>
          <cell r="J3924">
            <v>623571</v>
          </cell>
          <cell r="K3924">
            <v>2970</v>
          </cell>
        </row>
        <row r="3925">
          <cell r="A3925" t="str">
            <v>May-26 &amp; Jun-26</v>
          </cell>
          <cell r="B3925" t="str">
            <v>Favas Kurinhilayil</v>
          </cell>
          <cell r="E3925" t="str">
            <v>HUNT</v>
          </cell>
          <cell r="F3925" t="str">
            <v>AM</v>
          </cell>
          <cell r="G3925">
            <v>320</v>
          </cell>
          <cell r="H3925">
            <v>150</v>
          </cell>
          <cell r="I3925">
            <v>10200</v>
          </cell>
          <cell r="J3925">
            <v>4988563</v>
          </cell>
          <cell r="K3925">
            <v>3250</v>
          </cell>
        </row>
        <row r="3926">
          <cell r="A3926" t="str">
            <v>May-26 &amp; Jun-26</v>
          </cell>
          <cell r="B3926" t="str">
            <v>Ranjith Chandran</v>
          </cell>
          <cell r="E3926" t="str">
            <v>HUNT</v>
          </cell>
          <cell r="F3926" t="str">
            <v>AM</v>
          </cell>
          <cell r="G3926">
            <v>320</v>
          </cell>
          <cell r="H3926">
            <v>150</v>
          </cell>
          <cell r="I3926">
            <v>10200</v>
          </cell>
          <cell r="J3926">
            <v>3325709</v>
          </cell>
          <cell r="K3926">
            <v>3250</v>
          </cell>
        </row>
        <row r="3927">
          <cell r="A3927" t="str">
            <v>May-26 &amp; Jun-26</v>
          </cell>
          <cell r="B3927" t="str">
            <v>Khalid Karmastaji</v>
          </cell>
          <cell r="E3927" t="str">
            <v>HUNT</v>
          </cell>
          <cell r="F3927" t="str">
            <v>D</v>
          </cell>
          <cell r="G3927">
            <v>2111</v>
          </cell>
          <cell r="H3927">
            <v>1050</v>
          </cell>
          <cell r="I3927">
            <v>64890</v>
          </cell>
          <cell r="J3927">
            <v>20785680</v>
          </cell>
          <cell r="K3927">
            <v>21907</v>
          </cell>
        </row>
        <row r="3928">
          <cell r="A3928" t="str">
            <v>May-26 &amp; Jun-26</v>
          </cell>
          <cell r="B3928" t="str">
            <v>Amjad Ilwan</v>
          </cell>
          <cell r="E3928" t="str">
            <v>KEY-A</v>
          </cell>
          <cell r="F3928" t="str">
            <v>AM</v>
          </cell>
          <cell r="G3928">
            <v>508</v>
          </cell>
          <cell r="H3928">
            <v>289</v>
          </cell>
          <cell r="I3928">
            <v>30000</v>
          </cell>
          <cell r="J3928">
            <v>7678700</v>
          </cell>
          <cell r="K3928">
            <v>10606</v>
          </cell>
        </row>
        <row r="3929">
          <cell r="A3929" t="str">
            <v>May-26 &amp; Jun-26</v>
          </cell>
          <cell r="B3929" t="str">
            <v>Ahemar Khan</v>
          </cell>
          <cell r="E3929" t="str">
            <v>KEY-A</v>
          </cell>
          <cell r="F3929" t="str">
            <v>AM</v>
          </cell>
          <cell r="J3929">
            <v>39547400</v>
          </cell>
        </row>
        <row r="3930">
          <cell r="A3930" t="str">
            <v>May-26 &amp; Jun-26</v>
          </cell>
          <cell r="B3930" t="str">
            <v>Fadi Saleh</v>
          </cell>
          <cell r="E3930" t="str">
            <v>KEY-A</v>
          </cell>
          <cell r="F3930" t="str">
            <v>AM</v>
          </cell>
          <cell r="J3930">
            <v>14548619</v>
          </cell>
        </row>
        <row r="3931">
          <cell r="A3931" t="str">
            <v>May-26 &amp; Jun-26</v>
          </cell>
          <cell r="B3931" t="str">
            <v>Ninette Hajjar</v>
          </cell>
          <cell r="E3931" t="str">
            <v>KEY-A</v>
          </cell>
          <cell r="F3931" t="str">
            <v>AM</v>
          </cell>
          <cell r="J3931">
            <v>9999522</v>
          </cell>
        </row>
        <row r="3932">
          <cell r="A3932" t="str">
            <v>May-26 &amp; Jun-26</v>
          </cell>
          <cell r="B3932" t="str">
            <v>Rijith Menon</v>
          </cell>
          <cell r="E3932" t="str">
            <v>KEY-A</v>
          </cell>
          <cell r="F3932" t="str">
            <v>AM</v>
          </cell>
          <cell r="G3932">
            <v>508</v>
          </cell>
          <cell r="H3932">
            <v>289</v>
          </cell>
          <cell r="I3932">
            <v>30000</v>
          </cell>
          <cell r="J3932">
            <v>10881484</v>
          </cell>
          <cell r="K3932">
            <v>10464</v>
          </cell>
        </row>
        <row r="3933">
          <cell r="A3933" t="str">
            <v>May-26 &amp; Jun-26</v>
          </cell>
          <cell r="B3933" t="str">
            <v>Suleiman Wanni</v>
          </cell>
          <cell r="E3933" t="str">
            <v>KEY-A</v>
          </cell>
          <cell r="F3933" t="str">
            <v>AM</v>
          </cell>
          <cell r="G3933">
            <v>508</v>
          </cell>
          <cell r="H3933">
            <v>288</v>
          </cell>
          <cell r="I3933">
            <v>50000</v>
          </cell>
          <cell r="J3933">
            <v>8463895</v>
          </cell>
          <cell r="K3933">
            <v>5000</v>
          </cell>
        </row>
        <row r="3934">
          <cell r="A3934" t="str">
            <v>May-26 &amp; Jun-26</v>
          </cell>
          <cell r="B3934" t="str">
            <v>Waseem Suhaf</v>
          </cell>
          <cell r="E3934" t="str">
            <v>KEY-A</v>
          </cell>
          <cell r="F3934" t="str">
            <v>AM</v>
          </cell>
          <cell r="G3934">
            <v>507</v>
          </cell>
          <cell r="H3934">
            <v>288</v>
          </cell>
          <cell r="I3934">
            <v>50000</v>
          </cell>
          <cell r="J3934">
            <v>11241777</v>
          </cell>
          <cell r="K3934">
            <v>10606</v>
          </cell>
        </row>
        <row r="3935">
          <cell r="A3935" t="str">
            <v>May-26 &amp; Jun-26</v>
          </cell>
          <cell r="B3935" t="str">
            <v>Hany Jawee</v>
          </cell>
          <cell r="E3935" t="str">
            <v>KEY-A</v>
          </cell>
          <cell r="F3935" t="str">
            <v>D</v>
          </cell>
          <cell r="G3935">
            <v>2031</v>
          </cell>
          <cell r="H3935">
            <v>1154</v>
          </cell>
          <cell r="I3935">
            <v>2173170</v>
          </cell>
          <cell r="J3935">
            <v>102361397</v>
          </cell>
          <cell r="K3935">
            <v>36676</v>
          </cell>
        </row>
        <row r="3936">
          <cell r="A3936" t="str">
            <v>May-26 &amp; Jun-26</v>
          </cell>
          <cell r="B3936" t="str">
            <v>Abdel Azim Sharabati</v>
          </cell>
          <cell r="E3936" t="str">
            <v>KEY-B</v>
          </cell>
          <cell r="F3936" t="str">
            <v>AM</v>
          </cell>
          <cell r="G3936">
            <v>599</v>
          </cell>
          <cell r="H3936">
            <v>270</v>
          </cell>
          <cell r="I3936">
            <v>41500</v>
          </cell>
          <cell r="J3936">
            <v>8924379</v>
          </cell>
          <cell r="K3936">
            <v>6109</v>
          </cell>
        </row>
        <row r="3937">
          <cell r="A3937" t="str">
            <v>May-26 &amp; Jun-26</v>
          </cell>
          <cell r="B3937" t="str">
            <v>Abraham Cherian</v>
          </cell>
          <cell r="E3937" t="str">
            <v>KEY-B</v>
          </cell>
          <cell r="F3937" t="str">
            <v>AM</v>
          </cell>
          <cell r="G3937">
            <v>830</v>
          </cell>
          <cell r="H3937">
            <v>330</v>
          </cell>
          <cell r="I3937">
            <v>55790</v>
          </cell>
          <cell r="J3937">
            <v>35866139</v>
          </cell>
          <cell r="K3937">
            <v>6109</v>
          </cell>
        </row>
        <row r="3938">
          <cell r="A3938" t="str">
            <v>May-26 &amp; Jun-26</v>
          </cell>
          <cell r="B3938" t="str">
            <v>Arjun Subaraman</v>
          </cell>
          <cell r="E3938" t="str">
            <v>KEY-B</v>
          </cell>
          <cell r="F3938" t="str">
            <v>AM</v>
          </cell>
          <cell r="G3938">
            <v>890</v>
          </cell>
          <cell r="H3938">
            <v>850</v>
          </cell>
          <cell r="I3938">
            <v>26000</v>
          </cell>
          <cell r="J3938">
            <v>8330799</v>
          </cell>
          <cell r="K3938">
            <v>6110</v>
          </cell>
        </row>
        <row r="3939">
          <cell r="A3939" t="str">
            <v>May-26 &amp; Jun-26</v>
          </cell>
          <cell r="B3939" t="str">
            <v>Ehab Hajou</v>
          </cell>
          <cell r="E3939" t="str">
            <v>KEY-B</v>
          </cell>
          <cell r="F3939" t="str">
            <v>AM</v>
          </cell>
          <cell r="G3939">
            <v>460</v>
          </cell>
          <cell r="H3939">
            <v>260</v>
          </cell>
          <cell r="I3939">
            <v>29500</v>
          </cell>
          <cell r="J3939">
            <v>5453095</v>
          </cell>
          <cell r="K3939">
            <v>6110</v>
          </cell>
        </row>
        <row r="3940">
          <cell r="A3940" t="str">
            <v>May-26 &amp; Jun-26</v>
          </cell>
          <cell r="B3940" t="str">
            <v>Ghassan Fouany</v>
          </cell>
          <cell r="E3940" t="str">
            <v>KEY-B</v>
          </cell>
          <cell r="F3940" t="str">
            <v>AM</v>
          </cell>
          <cell r="G3940">
            <v>710</v>
          </cell>
          <cell r="H3940">
            <v>360</v>
          </cell>
          <cell r="I3940">
            <v>26500</v>
          </cell>
          <cell r="J3940">
            <v>5824343</v>
          </cell>
          <cell r="K3940">
            <v>6109</v>
          </cell>
        </row>
        <row r="3941">
          <cell r="A3941" t="str">
            <v>May-26 &amp; Jun-26</v>
          </cell>
          <cell r="B3941" t="str">
            <v>Inayat Fazili</v>
          </cell>
          <cell r="E3941" t="str">
            <v>KEY-B</v>
          </cell>
          <cell r="F3941" t="str">
            <v>AM</v>
          </cell>
          <cell r="G3941">
            <v>590</v>
          </cell>
          <cell r="H3941">
            <v>288</v>
          </cell>
          <cell r="I3941">
            <v>41500</v>
          </cell>
          <cell r="J3941">
            <v>12064256</v>
          </cell>
          <cell r="K3941">
            <v>6110</v>
          </cell>
        </row>
        <row r="3942">
          <cell r="A3942" t="str">
            <v>May-26 &amp; Jun-26</v>
          </cell>
          <cell r="B3942" t="str">
            <v>Mohamad Labban</v>
          </cell>
          <cell r="E3942" t="str">
            <v>KEY-B</v>
          </cell>
          <cell r="F3942" t="str">
            <v>AM</v>
          </cell>
          <cell r="G3942">
            <v>970</v>
          </cell>
          <cell r="H3942">
            <v>850</v>
          </cell>
          <cell r="I3942">
            <v>23000</v>
          </cell>
          <cell r="J3942">
            <v>9140415</v>
          </cell>
          <cell r="K3942">
            <v>6109</v>
          </cell>
        </row>
        <row r="3943">
          <cell r="A3943" t="str">
            <v>May-26 &amp; Jun-26</v>
          </cell>
          <cell r="B3943" t="str">
            <v>Nadeem Rasheed</v>
          </cell>
          <cell r="E3943" t="str">
            <v>KEY-B</v>
          </cell>
          <cell r="F3943" t="str">
            <v>AM</v>
          </cell>
          <cell r="G3943">
            <v>580</v>
          </cell>
          <cell r="H3943">
            <v>295</v>
          </cell>
          <cell r="I3943">
            <v>55500</v>
          </cell>
          <cell r="J3943">
            <v>8630733</v>
          </cell>
          <cell r="K3943">
            <v>6110</v>
          </cell>
        </row>
        <row r="3944">
          <cell r="A3944" t="str">
            <v>May-26 &amp; Jun-26</v>
          </cell>
          <cell r="B3944" t="str">
            <v>Mazen Adem</v>
          </cell>
          <cell r="E3944" t="str">
            <v>KEY-B</v>
          </cell>
          <cell r="F3944" t="str">
            <v>D</v>
          </cell>
          <cell r="G3944">
            <v>5629</v>
          </cell>
          <cell r="H3944">
            <v>3503</v>
          </cell>
          <cell r="I3944">
            <v>299290</v>
          </cell>
          <cell r="J3944">
            <v>94234159</v>
          </cell>
          <cell r="K3944">
            <v>48876</v>
          </cell>
        </row>
        <row r="3945">
          <cell r="A3945" t="str">
            <v>May-26 &amp; Jun-26</v>
          </cell>
          <cell r="B3945" t="str">
            <v>Ahmad Ozdamir</v>
          </cell>
          <cell r="E3945" t="str">
            <v>LE</v>
          </cell>
          <cell r="F3945" t="str">
            <v>AM</v>
          </cell>
          <cell r="G3945">
            <v>500</v>
          </cell>
          <cell r="H3945">
            <v>202</v>
          </cell>
          <cell r="I3945">
            <v>23576</v>
          </cell>
          <cell r="J3945">
            <v>6094885</v>
          </cell>
          <cell r="K3945">
            <v>4983</v>
          </cell>
        </row>
        <row r="3946">
          <cell r="A3946" t="str">
            <v>May-26 &amp; Jun-26</v>
          </cell>
          <cell r="B3946" t="str">
            <v>Eslam Hassan</v>
          </cell>
          <cell r="E3946" t="str">
            <v>LE</v>
          </cell>
          <cell r="F3946" t="str">
            <v>AM</v>
          </cell>
          <cell r="G3946">
            <v>500</v>
          </cell>
          <cell r="H3946">
            <v>202</v>
          </cell>
          <cell r="I3946">
            <v>23576</v>
          </cell>
          <cell r="J3946">
            <v>7492510</v>
          </cell>
          <cell r="K3946">
            <v>4983</v>
          </cell>
        </row>
        <row r="3947">
          <cell r="A3947" t="str">
            <v>May-26 &amp; Jun-26</v>
          </cell>
          <cell r="B3947" t="str">
            <v>Khaled Abdelaziz</v>
          </cell>
          <cell r="E3947" t="str">
            <v>LE</v>
          </cell>
          <cell r="F3947" t="str">
            <v>AM</v>
          </cell>
          <cell r="G3947">
            <v>500</v>
          </cell>
          <cell r="H3947">
            <v>202</v>
          </cell>
          <cell r="I3947">
            <v>60000</v>
          </cell>
          <cell r="J3947">
            <v>5936366</v>
          </cell>
          <cell r="K3947">
            <v>7000</v>
          </cell>
        </row>
        <row r="3948">
          <cell r="A3948" t="str">
            <v>May-26 &amp; Jun-26</v>
          </cell>
          <cell r="B3948" t="str">
            <v>Mohamed Mostafa</v>
          </cell>
          <cell r="E3948" t="str">
            <v>LE</v>
          </cell>
          <cell r="F3948" t="str">
            <v>AM</v>
          </cell>
          <cell r="G3948">
            <v>500</v>
          </cell>
          <cell r="H3948">
            <v>202</v>
          </cell>
          <cell r="I3948">
            <v>23575</v>
          </cell>
          <cell r="J3948">
            <v>5775726</v>
          </cell>
          <cell r="K3948">
            <v>4983</v>
          </cell>
        </row>
        <row r="3949">
          <cell r="A3949" t="str">
            <v>May-26 &amp; Jun-26</v>
          </cell>
          <cell r="B3949" t="str">
            <v>Mushahid Hussain Syed</v>
          </cell>
          <cell r="E3949" t="str">
            <v>LE</v>
          </cell>
          <cell r="F3949" t="str">
            <v>AM</v>
          </cell>
          <cell r="G3949">
            <v>500</v>
          </cell>
          <cell r="H3949">
            <v>202</v>
          </cell>
          <cell r="I3949">
            <v>23576</v>
          </cell>
          <cell r="J3949">
            <v>6350943</v>
          </cell>
          <cell r="K3949">
            <v>4983</v>
          </cell>
        </row>
        <row r="3950">
          <cell r="A3950" t="str">
            <v>May-26 &amp; Jun-26</v>
          </cell>
          <cell r="B3950" t="str">
            <v>Peter Sedrak</v>
          </cell>
          <cell r="E3950" t="str">
            <v>LE</v>
          </cell>
          <cell r="F3950" t="str">
            <v>AM</v>
          </cell>
          <cell r="G3950">
            <v>1179</v>
          </cell>
          <cell r="H3950">
            <v>1000</v>
          </cell>
          <cell r="I3950">
            <v>23576</v>
          </cell>
          <cell r="J3950">
            <v>6855682</v>
          </cell>
          <cell r="K3950">
            <v>4983</v>
          </cell>
        </row>
        <row r="3951">
          <cell r="A3951" t="str">
            <v>May-26 &amp; Jun-26</v>
          </cell>
          <cell r="B3951" t="str">
            <v>Ramy Abdel Fattah</v>
          </cell>
          <cell r="E3951" t="str">
            <v>LE</v>
          </cell>
          <cell r="F3951" t="str">
            <v>AM</v>
          </cell>
          <cell r="G3951">
            <v>500</v>
          </cell>
          <cell r="H3951">
            <v>202</v>
          </cell>
          <cell r="I3951">
            <v>23576</v>
          </cell>
          <cell r="J3951">
            <v>6538081</v>
          </cell>
          <cell r="K3951">
            <v>4983</v>
          </cell>
        </row>
        <row r="3952">
          <cell r="A3952" t="str">
            <v>May-26 &amp; Jun-26</v>
          </cell>
          <cell r="B3952" t="str">
            <v>Shabbir Lacewala</v>
          </cell>
          <cell r="E3952" t="str">
            <v>LE</v>
          </cell>
          <cell r="F3952" t="str">
            <v>AM</v>
          </cell>
          <cell r="G3952">
            <v>4000</v>
          </cell>
          <cell r="H3952">
            <v>1000</v>
          </cell>
          <cell r="I3952">
            <v>23576</v>
          </cell>
          <cell r="J3952">
            <v>9361450</v>
          </cell>
          <cell r="K3952">
            <v>4983</v>
          </cell>
        </row>
        <row r="3953">
          <cell r="A3953" t="str">
            <v>May-26 &amp; Jun-26</v>
          </cell>
          <cell r="B3953" t="str">
            <v>Muhammad Shahzad Hasan</v>
          </cell>
          <cell r="E3953" t="str">
            <v>LE</v>
          </cell>
          <cell r="F3953" t="str">
            <v>D</v>
          </cell>
          <cell r="G3953">
            <v>8179</v>
          </cell>
          <cell r="H3953">
            <v>3212</v>
          </cell>
          <cell r="I3953">
            <v>225031</v>
          </cell>
          <cell r="J3953">
            <v>54405643</v>
          </cell>
          <cell r="K3953">
            <v>41881</v>
          </cell>
        </row>
        <row r="3954">
          <cell r="A3954" t="str">
            <v>May-26 &amp; Jun-26</v>
          </cell>
          <cell r="B3954" t="str">
            <v>Khaled Alawadi</v>
          </cell>
          <cell r="E3954" t="str">
            <v>Gov</v>
          </cell>
          <cell r="F3954" t="str">
            <v>LD</v>
          </cell>
          <cell r="H3954">
            <v>11260</v>
          </cell>
          <cell r="I3954">
            <v>471864</v>
          </cell>
          <cell r="J3954">
            <v>125765886</v>
          </cell>
          <cell r="K3954">
            <v>73399</v>
          </cell>
        </row>
        <row r="3955">
          <cell r="A3955" t="str">
            <v>May-26 &amp; Jun-26</v>
          </cell>
          <cell r="B3955" t="str">
            <v>Kamil Aljindi</v>
          </cell>
          <cell r="E3955" t="str">
            <v>KA/LE</v>
          </cell>
          <cell r="F3955" t="str">
            <v>LD</v>
          </cell>
          <cell r="H3955">
            <v>7869</v>
          </cell>
          <cell r="I3955">
            <v>2697491</v>
          </cell>
          <cell r="J3955">
            <v>251001199</v>
          </cell>
          <cell r="K3955">
            <v>127433</v>
          </cell>
        </row>
        <row r="3956">
          <cell r="A3956" t="str">
            <v>May-26 &amp; Jun-26</v>
          </cell>
          <cell r="B3956" t="str">
            <v>Mohamad Amer Sibai</v>
          </cell>
          <cell r="E3956" t="str">
            <v>DXB</v>
          </cell>
          <cell r="F3956" t="str">
            <v>LD</v>
          </cell>
          <cell r="H3956">
            <v>2881</v>
          </cell>
          <cell r="I3956">
            <v>292320</v>
          </cell>
          <cell r="J3956">
            <v>64110049</v>
          </cell>
          <cell r="K3956">
            <v>21438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21">
          <cell r="C21">
            <v>46143</v>
          </cell>
          <cell r="D21">
            <v>46174</v>
          </cell>
          <cell r="E21" t="str">
            <v xml:space="preserve"> </v>
          </cell>
          <cell r="F21" t="str">
            <v>May-26 &amp; Jun-26</v>
          </cell>
        </row>
      </sheetData>
      <sheetData sheetId="26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ummary"/>
      <sheetName val="_calc"/>
      <sheetName val="Disciplinary"/>
      <sheetName val="Q_calc"/>
      <sheetName val="Q_calc-Fin-data"/>
      <sheetName val="Q_calc-Fin-Validation Check"/>
      <sheetName val="Target"/>
      <sheetName val="_hierarchy_Monthly_T_W"/>
      <sheetName val="_hierarchy_Qtr_T_W"/>
      <sheetName val="Sheet3"/>
      <sheetName val="_dFixed"/>
      <sheetName val="_dMobile"/>
      <sheetName val="_dDuTech"/>
      <sheetName val="_dRev"/>
      <sheetName val="2025_Q2_esp_staff_commission_ma"/>
      <sheetName val="Sheet1"/>
    </sheetNames>
    <sheetDataSet>
      <sheetData sheetId="0"/>
      <sheetData sheetId="1"/>
      <sheetData sheetId="2"/>
      <sheetData sheetId="3">
        <row r="31">
          <cell r="B31" t="str">
            <v>Ghassan Fouany</v>
          </cell>
          <cell r="C31">
            <v>10</v>
          </cell>
          <cell r="D31" t="str">
            <v>Gov &amp; Key</v>
          </cell>
          <cell r="E31" t="str">
            <v>KEY-B</v>
          </cell>
          <cell r="F31"/>
          <cell r="G31">
            <v>50000</v>
          </cell>
          <cell r="H31">
            <v>344639</v>
          </cell>
          <cell r="I31">
            <v>-232718</v>
          </cell>
          <cell r="J31">
            <v>3820.3999999999996</v>
          </cell>
          <cell r="K31">
            <v>115741.4</v>
          </cell>
          <cell r="L31">
            <v>2.3148279999999999</v>
          </cell>
          <cell r="M31">
            <v>3</v>
          </cell>
          <cell r="N31">
            <v>2.3148279999999999</v>
          </cell>
          <cell r="O31">
            <v>0.35</v>
          </cell>
          <cell r="P31">
            <v>0.81018979999999996</v>
          </cell>
          <cell r="Q31">
            <v>0.15</v>
          </cell>
          <cell r="R31">
            <v>0.15</v>
          </cell>
          <cell r="T31">
            <v>342</v>
          </cell>
          <cell r="U31">
            <v>65.299999999999983</v>
          </cell>
          <cell r="V31">
            <v>45.8</v>
          </cell>
          <cell r="W31">
            <v>90.4</v>
          </cell>
          <cell r="X31">
            <v>201.5</v>
          </cell>
          <cell r="Y31">
            <v>0.58918128654970758</v>
          </cell>
          <cell r="Z31">
            <v>3</v>
          </cell>
          <cell r="AA31">
            <v>0.58918128654970758</v>
          </cell>
          <cell r="AB31">
            <v>0.35</v>
          </cell>
          <cell r="AC31">
            <v>0.20621345029239765</v>
          </cell>
          <cell r="AD31">
            <v>0</v>
          </cell>
          <cell r="AE31">
            <v>0</v>
          </cell>
          <cell r="AF31">
            <v>1.9175182851510892</v>
          </cell>
          <cell r="AG31">
            <v>6.8927800000000001</v>
          </cell>
        </row>
        <row r="32">
          <cell r="B32" t="str">
            <v>Abraham Cherian</v>
          </cell>
          <cell r="C32">
            <v>10</v>
          </cell>
          <cell r="D32" t="str">
            <v>Gov &amp; Key</v>
          </cell>
          <cell r="E32" t="str">
            <v>KEY-B</v>
          </cell>
          <cell r="F32"/>
          <cell r="G32">
            <v>91315</v>
          </cell>
          <cell r="H32">
            <v>113668</v>
          </cell>
          <cell r="I32">
            <v>228886.80000000005</v>
          </cell>
          <cell r="J32">
            <v>88743.4</v>
          </cell>
          <cell r="K32">
            <v>431298.20000000007</v>
          </cell>
          <cell r="L32">
            <v>4.723191151508515</v>
          </cell>
          <cell r="M32">
            <v>3</v>
          </cell>
          <cell r="N32">
            <v>3</v>
          </cell>
          <cell r="O32">
            <v>0.35</v>
          </cell>
          <cell r="P32">
            <v>1.0499999999999998</v>
          </cell>
          <cell r="Q32">
            <v>0.15</v>
          </cell>
          <cell r="R32">
            <v>0.15</v>
          </cell>
          <cell r="T32">
            <v>294</v>
          </cell>
          <cell r="U32">
            <v>268.05</v>
          </cell>
          <cell r="V32">
            <v>3.2000000000000028</v>
          </cell>
          <cell r="W32">
            <v>26.5</v>
          </cell>
          <cell r="X32">
            <v>297.75</v>
          </cell>
          <cell r="Y32">
            <v>1.0127551020408163</v>
          </cell>
          <cell r="Z32">
            <v>3</v>
          </cell>
          <cell r="AA32">
            <v>1.0127551020408163</v>
          </cell>
          <cell r="AB32">
            <v>0.35</v>
          </cell>
          <cell r="AC32">
            <v>0.35446428571428568</v>
          </cell>
          <cell r="AD32">
            <v>0.15</v>
          </cell>
          <cell r="AE32">
            <v>0.05</v>
          </cell>
          <cell r="AF32">
            <v>2.2070043728322766</v>
          </cell>
          <cell r="AG32">
            <v>1.2447900125937688</v>
          </cell>
        </row>
        <row r="33">
          <cell r="B33" t="str">
            <v>Ehab Hajou</v>
          </cell>
          <cell r="C33">
            <v>10</v>
          </cell>
          <cell r="D33" t="str">
            <v>Gov &amp; Key</v>
          </cell>
          <cell r="E33" t="str">
            <v>KEY-B</v>
          </cell>
          <cell r="F33"/>
          <cell r="G33">
            <v>46315</v>
          </cell>
          <cell r="H33">
            <v>37646.6</v>
          </cell>
          <cell r="I33">
            <v>-2240</v>
          </cell>
          <cell r="J33">
            <v>26720</v>
          </cell>
          <cell r="K33">
            <v>62126.6</v>
          </cell>
          <cell r="L33">
            <v>1.3413926373745007</v>
          </cell>
          <cell r="M33">
            <v>3</v>
          </cell>
          <cell r="N33">
            <v>1.3413926373745007</v>
          </cell>
          <cell r="O33">
            <v>0.35</v>
          </cell>
          <cell r="P33">
            <v>0.46948742308107522</v>
          </cell>
          <cell r="Q33">
            <v>0.15</v>
          </cell>
          <cell r="R33">
            <v>0</v>
          </cell>
          <cell r="T33">
            <v>262</v>
          </cell>
          <cell r="U33">
            <v>-60.6</v>
          </cell>
          <cell r="V33">
            <v>-3960.45</v>
          </cell>
          <cell r="W33">
            <v>-2431.6999999999998</v>
          </cell>
          <cell r="X33">
            <v>-6452.75</v>
          </cell>
          <cell r="Y33">
            <v>0</v>
          </cell>
          <cell r="Z33">
            <v>3</v>
          </cell>
          <cell r="AA33">
            <v>0</v>
          </cell>
          <cell r="AB33">
            <v>0.35</v>
          </cell>
          <cell r="AC33">
            <v>0</v>
          </cell>
          <cell r="AD33">
            <v>0</v>
          </cell>
          <cell r="AE33">
            <v>0</v>
          </cell>
          <cell r="AF33">
            <v>0.86292943315676174</v>
          </cell>
          <cell r="AG33">
            <v>0.81283817337795528</v>
          </cell>
        </row>
        <row r="34">
          <cell r="B34" t="str">
            <v>Inayat Fazili</v>
          </cell>
          <cell r="C34">
            <v>10</v>
          </cell>
          <cell r="D34" t="str">
            <v>Gov &amp; Key</v>
          </cell>
          <cell r="E34" t="str">
            <v>KEY-B</v>
          </cell>
          <cell r="F34"/>
          <cell r="G34">
            <v>61315</v>
          </cell>
          <cell r="H34">
            <v>26844</v>
          </cell>
          <cell r="I34">
            <v>8115</v>
          </cell>
          <cell r="J34">
            <v>16560</v>
          </cell>
          <cell r="K34">
            <v>51519</v>
          </cell>
          <cell r="L34">
            <v>0.84023485280926369</v>
          </cell>
          <cell r="M34">
            <v>3</v>
          </cell>
          <cell r="N34">
            <v>0.84023485280926369</v>
          </cell>
          <cell r="O34">
            <v>0.35</v>
          </cell>
          <cell r="P34">
            <v>0.2940821984832423</v>
          </cell>
          <cell r="Q34">
            <v>0</v>
          </cell>
          <cell r="R34">
            <v>0</v>
          </cell>
          <cell r="T34">
            <v>342</v>
          </cell>
          <cell r="U34">
            <v>348.24999999999994</v>
          </cell>
          <cell r="V34">
            <v>276.64999999999998</v>
          </cell>
          <cell r="W34">
            <v>44.849999999999966</v>
          </cell>
          <cell r="X34">
            <v>669.74999999999977</v>
          </cell>
          <cell r="Y34">
            <v>1.9583333333333326</v>
          </cell>
          <cell r="Z34">
            <v>3</v>
          </cell>
          <cell r="AA34">
            <v>1.9583333333333326</v>
          </cell>
          <cell r="AB34">
            <v>0.35</v>
          </cell>
          <cell r="AC34">
            <v>0.68541666666666634</v>
          </cell>
          <cell r="AD34">
            <v>0.15</v>
          </cell>
          <cell r="AE34">
            <v>0.15</v>
          </cell>
          <cell r="AF34">
            <v>1.5413961170963177</v>
          </cell>
          <cell r="AG34">
            <v>0.4378047786022996</v>
          </cell>
        </row>
        <row r="35">
          <cell r="B35" t="str">
            <v>Abdel Azim Sharabati</v>
          </cell>
          <cell r="C35">
            <v>10</v>
          </cell>
          <cell r="D35" t="str">
            <v>Gov &amp; Key</v>
          </cell>
          <cell r="E35" t="str">
            <v>KEY-B</v>
          </cell>
          <cell r="F35"/>
          <cell r="G35">
            <v>132634</v>
          </cell>
          <cell r="H35">
            <v>-352347.6</v>
          </cell>
          <cell r="I35">
            <v>-8630</v>
          </cell>
          <cell r="J35">
            <v>15384.8</v>
          </cell>
          <cell r="K35">
            <v>-345592.8</v>
          </cell>
          <cell r="L35">
            <v>0</v>
          </cell>
          <cell r="M35">
            <v>3</v>
          </cell>
          <cell r="N35">
            <v>0</v>
          </cell>
          <cell r="O35">
            <v>0.35</v>
          </cell>
          <cell r="P35">
            <v>0</v>
          </cell>
          <cell r="Q35">
            <v>0</v>
          </cell>
          <cell r="R35">
            <v>0</v>
          </cell>
          <cell r="T35">
            <v>222</v>
          </cell>
          <cell r="U35">
            <v>346.8</v>
          </cell>
          <cell r="V35">
            <v>191</v>
          </cell>
          <cell r="W35">
            <v>101.30000000000001</v>
          </cell>
          <cell r="X35">
            <v>639.09999999999991</v>
          </cell>
          <cell r="Y35">
            <v>2.8788288288288286</v>
          </cell>
          <cell r="Z35">
            <v>3</v>
          </cell>
          <cell r="AA35">
            <v>2.8788288288288286</v>
          </cell>
          <cell r="AB35">
            <v>0.35</v>
          </cell>
          <cell r="AC35">
            <v>1.00759009009009</v>
          </cell>
          <cell r="AD35">
            <v>0.15</v>
          </cell>
          <cell r="AE35">
            <v>0.15</v>
          </cell>
          <cell r="AF35">
            <v>1.4885952919692627</v>
          </cell>
          <cell r="AG35">
            <v>0</v>
          </cell>
        </row>
        <row r="36">
          <cell r="B36" t="str">
            <v>Nadeem Rasheed</v>
          </cell>
          <cell r="C36">
            <v>10</v>
          </cell>
          <cell r="D36" t="str">
            <v>Gov &amp; Key</v>
          </cell>
          <cell r="E36" t="str">
            <v>KEY-B</v>
          </cell>
          <cell r="F36"/>
          <cell r="G36">
            <v>161315</v>
          </cell>
          <cell r="H36">
            <v>-165015.6</v>
          </cell>
          <cell r="I36">
            <v>790.40000000000146</v>
          </cell>
          <cell r="J36">
            <v>-106519.67999999999</v>
          </cell>
          <cell r="K36">
            <v>-270744.88</v>
          </cell>
          <cell r="L36">
            <v>0</v>
          </cell>
          <cell r="M36">
            <v>3</v>
          </cell>
          <cell r="N36">
            <v>0</v>
          </cell>
          <cell r="O36">
            <v>0.35</v>
          </cell>
          <cell r="P36">
            <v>0</v>
          </cell>
          <cell r="Q36">
            <v>0</v>
          </cell>
          <cell r="R36">
            <v>0</v>
          </cell>
          <cell r="T36">
            <v>242</v>
          </cell>
          <cell r="U36">
            <v>322.8</v>
          </cell>
          <cell r="V36">
            <v>440.55</v>
          </cell>
          <cell r="W36">
            <v>-21.15</v>
          </cell>
          <cell r="X36">
            <v>742.2</v>
          </cell>
          <cell r="Y36">
            <v>3.0669421487603308</v>
          </cell>
          <cell r="Z36">
            <v>3</v>
          </cell>
          <cell r="AA36">
            <v>3</v>
          </cell>
          <cell r="AB36">
            <v>0.35</v>
          </cell>
          <cell r="AC36">
            <v>1.0499999999999998</v>
          </cell>
          <cell r="AD36">
            <v>0.15</v>
          </cell>
          <cell r="AE36">
            <v>0.15</v>
          </cell>
          <cell r="AF36">
            <v>1.5695731069710639</v>
          </cell>
          <cell r="AG36">
            <v>0</v>
          </cell>
        </row>
        <row r="37">
          <cell r="B37" t="str">
            <v>Arjun Subaraman</v>
          </cell>
          <cell r="C37">
            <v>10</v>
          </cell>
          <cell r="D37" t="str">
            <v>Gov &amp; Key</v>
          </cell>
          <cell r="E37" t="str">
            <v>KEY-B</v>
          </cell>
          <cell r="F37"/>
          <cell r="G37">
            <v>76315</v>
          </cell>
          <cell r="H37">
            <v>102652</v>
          </cell>
          <cell r="I37">
            <v>3766</v>
          </cell>
          <cell r="J37">
            <v>18390</v>
          </cell>
          <cell r="K37">
            <v>124808</v>
          </cell>
          <cell r="L37">
            <v>1.6354320906768001</v>
          </cell>
          <cell r="M37">
            <v>3</v>
          </cell>
          <cell r="N37">
            <v>1.6354320906768001</v>
          </cell>
          <cell r="O37">
            <v>0.35</v>
          </cell>
          <cell r="P37">
            <v>0.57240123173687996</v>
          </cell>
          <cell r="Q37">
            <v>0.15</v>
          </cell>
          <cell r="R37">
            <v>0.15</v>
          </cell>
          <cell r="T37">
            <v>242</v>
          </cell>
          <cell r="U37">
            <v>163.99999999999994</v>
          </cell>
          <cell r="V37">
            <v>325.80000000000007</v>
          </cell>
          <cell r="W37">
            <v>100.6</v>
          </cell>
          <cell r="X37">
            <v>590.4</v>
          </cell>
          <cell r="Y37">
            <v>2.4396694214876034</v>
          </cell>
          <cell r="Z37">
            <v>3</v>
          </cell>
          <cell r="AA37">
            <v>2.4396694214876034</v>
          </cell>
          <cell r="AB37">
            <v>0.35</v>
          </cell>
          <cell r="AC37">
            <v>0.85388429752066108</v>
          </cell>
          <cell r="AD37">
            <v>0.1</v>
          </cell>
          <cell r="AE37">
            <v>0.15</v>
          </cell>
          <cell r="AF37">
            <v>2.3687079883993736</v>
          </cell>
          <cell r="AG37">
            <v>1.3451090873353861</v>
          </cell>
        </row>
        <row r="38">
          <cell r="B38" t="str">
            <v>Mohamad Labban</v>
          </cell>
          <cell r="C38">
            <v>10</v>
          </cell>
          <cell r="D38" t="str">
            <v>Gov &amp; Key</v>
          </cell>
          <cell r="E38" t="str">
            <v>KEY-B</v>
          </cell>
          <cell r="F38"/>
          <cell r="G38">
            <v>121315</v>
          </cell>
          <cell r="H38">
            <v>-41993.19999999999</v>
          </cell>
          <cell r="I38">
            <v>60665.599999999999</v>
          </cell>
          <cell r="J38">
            <v>10338.9</v>
          </cell>
          <cell r="K38">
            <v>29011.30000000001</v>
          </cell>
          <cell r="L38">
            <v>0.23914025470881597</v>
          </cell>
          <cell r="M38">
            <v>3</v>
          </cell>
          <cell r="N38">
            <v>0.23914025470881597</v>
          </cell>
          <cell r="O38">
            <v>0.35</v>
          </cell>
          <cell r="P38">
            <v>8.369908914808559E-2</v>
          </cell>
          <cell r="Q38">
            <v>0</v>
          </cell>
          <cell r="R38">
            <v>0</v>
          </cell>
          <cell r="T38">
            <v>162</v>
          </cell>
          <cell r="U38">
            <v>243.54999999999998</v>
          </cell>
          <cell r="V38">
            <v>37.75</v>
          </cell>
          <cell r="W38">
            <v>61.949999999999989</v>
          </cell>
          <cell r="X38">
            <v>343.24999999999994</v>
          </cell>
          <cell r="Y38">
            <v>2.1188271604938267</v>
          </cell>
          <cell r="Z38">
            <v>3</v>
          </cell>
          <cell r="AA38">
            <v>2.1188271604938267</v>
          </cell>
          <cell r="AB38">
            <v>0.35</v>
          </cell>
          <cell r="AC38">
            <v>0.74158950617283925</v>
          </cell>
          <cell r="AD38">
            <v>0.15</v>
          </cell>
          <cell r="AE38">
            <v>0.15</v>
          </cell>
          <cell r="AF38">
            <v>1.3289182993417734</v>
          </cell>
          <cell r="AG38">
            <v>0</v>
          </cell>
        </row>
        <row r="39">
          <cell r="B39" t="str">
            <v>Mostafa Mekawy</v>
          </cell>
          <cell r="C39">
            <v>10</v>
          </cell>
          <cell r="D39" t="str">
            <v>Gov &amp; Key</v>
          </cell>
          <cell r="E39" t="str">
            <v>KEY-B</v>
          </cell>
          <cell r="F39"/>
          <cell r="G39">
            <v>36315</v>
          </cell>
          <cell r="H39">
            <v>-226282.6</v>
          </cell>
          <cell r="I39">
            <v>115714</v>
          </cell>
          <cell r="J39">
            <v>-22591</v>
          </cell>
          <cell r="K39">
            <v>-133159.6</v>
          </cell>
          <cell r="L39">
            <v>0</v>
          </cell>
          <cell r="M39">
            <v>3</v>
          </cell>
          <cell r="N39">
            <v>0</v>
          </cell>
          <cell r="O39">
            <v>0.35</v>
          </cell>
          <cell r="P39">
            <v>0</v>
          </cell>
          <cell r="Q39">
            <v>0</v>
          </cell>
          <cell r="R39">
            <v>0</v>
          </cell>
          <cell r="T39">
            <v>292</v>
          </cell>
          <cell r="U39">
            <v>360.6</v>
          </cell>
          <cell r="V39">
            <v>134.30000000000001</v>
          </cell>
          <cell r="W39">
            <v>38.099999999999994</v>
          </cell>
          <cell r="X39">
            <v>533</v>
          </cell>
          <cell r="Y39">
            <v>1.8253424657534247</v>
          </cell>
          <cell r="Z39">
            <v>3</v>
          </cell>
          <cell r="AA39">
            <v>1.8253424657534247</v>
          </cell>
          <cell r="AB39">
            <v>0.35</v>
          </cell>
          <cell r="AC39">
            <v>0.63886986301369864</v>
          </cell>
          <cell r="AD39">
            <v>0.15</v>
          </cell>
          <cell r="AE39">
            <v>0.15</v>
          </cell>
          <cell r="AF39">
            <v>1.1406489619254616</v>
          </cell>
          <cell r="AG39">
            <v>0</v>
          </cell>
        </row>
        <row r="40">
          <cell r="B40" t="str">
            <v>Mazen Adem</v>
          </cell>
          <cell r="C40">
            <v>20</v>
          </cell>
          <cell r="D40" t="str">
            <v>Gov &amp; Key</v>
          </cell>
          <cell r="E40" t="str">
            <v>KEY-B</v>
          </cell>
          <cell r="F40"/>
          <cell r="G40">
            <v>776839</v>
          </cell>
          <cell r="H40">
            <v>-160189.40000000008</v>
          </cell>
          <cell r="I40">
            <v>174349.80000000005</v>
          </cell>
          <cell r="J40">
            <v>50846.819999999992</v>
          </cell>
          <cell r="K40">
            <v>65007.219999999958</v>
          </cell>
          <cell r="L40">
            <v>8.3681715258888859E-2</v>
          </cell>
          <cell r="M40">
            <v>3</v>
          </cell>
          <cell r="N40">
            <v>8.3681715258888859E-2</v>
          </cell>
          <cell r="O40">
            <v>0.35</v>
          </cell>
          <cell r="P40">
            <v>2.92886003406111E-2</v>
          </cell>
          <cell r="Q40">
            <v>0</v>
          </cell>
          <cell r="R40">
            <v>0</v>
          </cell>
          <cell r="T40">
            <v>2400</v>
          </cell>
          <cell r="U40">
            <v>2058.75</v>
          </cell>
          <cell r="V40">
            <v>-2505.3999999999992</v>
          </cell>
          <cell r="W40">
            <v>-1989.15</v>
          </cell>
          <cell r="X40">
            <v>-2435.7999999999993</v>
          </cell>
          <cell r="Y40">
            <v>0</v>
          </cell>
          <cell r="Z40">
            <v>3</v>
          </cell>
          <cell r="AA40">
            <v>0</v>
          </cell>
          <cell r="AB40">
            <v>0.35</v>
          </cell>
          <cell r="AC40">
            <v>0</v>
          </cell>
          <cell r="AD40">
            <v>0</v>
          </cell>
          <cell r="AE40">
            <v>0</v>
          </cell>
          <cell r="AF40">
            <v>0.24521120464209867</v>
          </cell>
          <cell r="AG4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22EE2-7AB2-42CF-8EC9-D49F25423D77}">
  <sheetPr codeName="Sheet22">
    <tabColor theme="7"/>
  </sheetPr>
  <dimension ref="A1:CG283"/>
  <sheetViews>
    <sheetView showGridLines="0" zoomScale="60" zoomScaleNormal="60" workbookViewId="0">
      <selection activeCell="D32" sqref="D32"/>
    </sheetView>
  </sheetViews>
  <sheetFormatPr defaultColWidth="12.59765625" defaultRowHeight="13.8"/>
  <cols>
    <col min="1" max="1" width="27" style="22" bestFit="1" customWidth="1"/>
    <col min="2" max="2" width="17.59765625" style="22" bestFit="1" customWidth="1"/>
    <col min="3" max="3" width="12.69921875" style="22" customWidth="1"/>
    <col min="4" max="4" width="2.796875" style="22" customWidth="1"/>
    <col min="5" max="5" width="21" style="22" bestFit="1" customWidth="1"/>
    <col min="6" max="6" width="12.8984375" style="22" bestFit="1" customWidth="1"/>
    <col min="7" max="7" width="17.59765625" style="22" bestFit="1" customWidth="1"/>
    <col min="8" max="8" width="9.296875" style="22" bestFit="1" customWidth="1"/>
    <col min="9" max="9" width="2.296875" style="22" bestFit="1" customWidth="1"/>
    <col min="10" max="10" width="21" style="22" bestFit="1" customWidth="1"/>
    <col min="11" max="11" width="12.8984375" style="22" bestFit="1" customWidth="1"/>
    <col min="12" max="13" width="13.59765625" style="22" bestFit="1" customWidth="1"/>
    <col min="14" max="14" width="2.796875" style="22" customWidth="1"/>
    <col min="15" max="15" width="21" style="22" bestFit="1" customWidth="1"/>
    <col min="16" max="16" width="12.8984375" style="22" bestFit="1" customWidth="1"/>
    <col min="17" max="18" width="15.09765625" style="22" bestFit="1" customWidth="1"/>
    <col min="19" max="19" width="2.296875" style="22" bestFit="1" customWidth="1"/>
    <col min="20" max="20" width="21" style="22" bestFit="1" customWidth="1"/>
    <col min="21" max="21" width="12.8984375" style="22" bestFit="1" customWidth="1"/>
    <col min="22" max="22" width="10.69921875" style="22" bestFit="1" customWidth="1"/>
    <col min="23" max="23" width="10.296875" style="22" bestFit="1" customWidth="1"/>
    <col min="24" max="24" width="2.296875" style="22" bestFit="1" customWidth="1"/>
    <col min="25" max="25" width="21" style="22" bestFit="1" customWidth="1"/>
    <col min="26" max="26" width="12.8984375" style="22" bestFit="1" customWidth="1"/>
    <col min="27" max="27" width="5.09765625" style="22" bestFit="1" customWidth="1"/>
    <col min="28" max="28" width="4.19921875" style="22" bestFit="1" customWidth="1"/>
    <col min="29" max="29" width="5.09765625" style="22" bestFit="1" customWidth="1"/>
    <col min="30" max="30" width="12.8984375" style="22" customWidth="1"/>
    <col min="31" max="31" width="7.69921875" style="22" bestFit="1" customWidth="1"/>
    <col min="32" max="32" width="12.59765625" style="22"/>
    <col min="33" max="33" width="4.19921875" style="22" bestFit="1" customWidth="1"/>
    <col min="34" max="34" width="9.796875" style="22" bestFit="1" customWidth="1"/>
    <col min="35" max="35" width="23.69921875" style="22" bestFit="1" customWidth="1"/>
    <col min="36" max="36" width="17.09765625" style="22" bestFit="1" customWidth="1"/>
    <col min="37" max="37" width="19.8984375" style="22" bestFit="1" customWidth="1"/>
    <col min="38" max="38" width="22.296875" style="22" bestFit="1" customWidth="1"/>
    <col min="39" max="39" width="27" style="22" bestFit="1" customWidth="1"/>
    <col min="40" max="40" width="32.09765625" style="22" bestFit="1" customWidth="1"/>
    <col min="41" max="41" width="10.3984375" style="22" bestFit="1" customWidth="1"/>
    <col min="42" max="42" width="7" style="22" bestFit="1" customWidth="1"/>
    <col min="43" max="43" width="9.796875" style="22" bestFit="1" customWidth="1"/>
    <col min="44" max="44" width="9.296875" style="22" bestFit="1" customWidth="1"/>
    <col min="45" max="45" width="7" style="22" bestFit="1" customWidth="1"/>
    <col min="46" max="46" width="9.796875" style="22" bestFit="1" customWidth="1"/>
    <col min="47" max="47" width="9.296875" style="22" bestFit="1" customWidth="1"/>
    <col min="48" max="48" width="7" style="22" bestFit="1" customWidth="1"/>
    <col min="49" max="49" width="9.796875" style="22" bestFit="1" customWidth="1"/>
    <col min="50" max="50" width="9.296875" style="22" bestFit="1" customWidth="1"/>
    <col min="51" max="51" width="7" style="22" bestFit="1" customWidth="1"/>
    <col min="52" max="52" width="9.796875" style="22" bestFit="1" customWidth="1"/>
    <col min="53" max="53" width="9.296875" style="22" bestFit="1" customWidth="1"/>
    <col min="54" max="54" width="7" style="22" bestFit="1" customWidth="1"/>
    <col min="55" max="55" width="9.796875" style="22" bestFit="1" customWidth="1"/>
    <col min="56" max="56" width="9.296875" style="22" bestFit="1" customWidth="1"/>
    <col min="57" max="57" width="7" style="22" bestFit="1" customWidth="1"/>
    <col min="58" max="58" width="9.796875" style="22" bestFit="1" customWidth="1"/>
    <col min="59" max="59" width="9.296875" style="22" bestFit="1" customWidth="1"/>
    <col min="60" max="60" width="7" style="22" bestFit="1" customWidth="1"/>
    <col min="61" max="61" width="9.796875" style="22" bestFit="1" customWidth="1"/>
    <col min="62" max="62" width="9.296875" style="22" bestFit="1" customWidth="1"/>
    <col min="63" max="63" width="7" style="22" bestFit="1" customWidth="1"/>
    <col min="64" max="64" width="12.59765625" style="22"/>
    <col min="65" max="65" width="7.3984375" style="22" bestFit="1" customWidth="1"/>
    <col min="66" max="66" width="76.59765625" style="22" bestFit="1" customWidth="1"/>
    <col min="67" max="67" width="27.296875" style="22" bestFit="1" customWidth="1"/>
    <col min="68" max="68" width="14.296875" style="22" bestFit="1" customWidth="1"/>
    <col min="69" max="69" width="8.796875" style="22" bestFit="1" customWidth="1"/>
    <col min="70" max="70" width="9.19921875" style="22" bestFit="1" customWidth="1"/>
    <col min="71" max="71" width="14.296875" style="22" bestFit="1" customWidth="1"/>
    <col min="72" max="72" width="8.796875" style="22" bestFit="1" customWidth="1"/>
    <col min="73" max="73" width="9.19921875" style="22" bestFit="1" customWidth="1"/>
    <col min="74" max="74" width="14.296875" style="22" bestFit="1" customWidth="1"/>
    <col min="75" max="75" width="8.796875" style="22" bestFit="1" customWidth="1"/>
    <col min="76" max="76" width="9.19921875" style="22" bestFit="1" customWidth="1"/>
    <col min="77" max="77" width="12.59765625" style="22" bestFit="1" customWidth="1"/>
    <col min="78" max="78" width="7" style="22" bestFit="1" customWidth="1"/>
    <col min="79" max="79" width="7.296875" style="22" bestFit="1" customWidth="1"/>
    <col min="80" max="80" width="7" style="22" bestFit="1" customWidth="1"/>
    <col min="81" max="81" width="7.296875" style="22" bestFit="1" customWidth="1"/>
    <col min="82" max="82" width="12.59765625" style="22"/>
    <col min="83" max="83" width="7" style="22" bestFit="1" customWidth="1"/>
    <col min="84" max="84" width="9" style="22" bestFit="1" customWidth="1"/>
    <col min="85" max="16384" width="12.59765625" style="22"/>
  </cols>
  <sheetData>
    <row r="1" spans="1:80">
      <c r="A1" s="18"/>
      <c r="B1" s="19" t="s">
        <v>18</v>
      </c>
      <c r="C1" s="20">
        <f>'[1]Refresh Data &amp; Send Email'!E19</f>
        <v>46204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21" t="e">
        <f ca="1">L22* (COUNTA(L21) / (TODAY() - DATE(YEAR(TODAY()), INT((MONTH(TODAY())-1)/3)*3 + 1, 1) + 1))</f>
        <v>#REF!</v>
      </c>
      <c r="AA1" s="21" t="e">
        <f ca="1">M22* (COUNTA(B:B) / (TODAY() - DATE(YEAR(TODAY()), INT((MONTH(TODAY())-1)/3)*3 + 1, 1) + 1))</f>
        <v>#REF!</v>
      </c>
      <c r="AB1" s="18"/>
      <c r="AC1" s="18"/>
      <c r="AD1" s="18"/>
      <c r="AE1" s="18"/>
      <c r="AF1" s="18"/>
      <c r="AG1" s="18"/>
      <c r="AH1" s="18"/>
      <c r="AI1" s="18"/>
      <c r="AQ1" s="23"/>
      <c r="BK1" s="24"/>
      <c r="BM1" s="23"/>
    </row>
    <row r="2" spans="1:80">
      <c r="A2" s="18"/>
      <c r="B2" s="19"/>
      <c r="C2" s="20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21"/>
      <c r="AA2" s="21"/>
      <c r="AB2" s="18"/>
      <c r="AC2" s="18"/>
      <c r="AD2" s="18"/>
      <c r="AE2" s="18"/>
      <c r="AF2" s="18"/>
      <c r="AG2" s="18"/>
      <c r="AH2" s="18"/>
      <c r="AI2" s="18"/>
      <c r="AQ2" s="23"/>
      <c r="BK2" s="24"/>
      <c r="BM2" s="23"/>
    </row>
    <row r="3" spans="1:80" ht="14.4" thickBot="1">
      <c r="A3" s="18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18"/>
      <c r="W3" s="18"/>
      <c r="X3" s="18"/>
      <c r="Y3" s="18"/>
      <c r="Z3" s="26">
        <f ca="1">SUMIFS(B:B, A:A, "&gt;=" &amp; DATE(YEAR(TODAY()), INT((MONTH(TODAY())-1)/3)*3 + 1, 1), A:A, "&lt;=" &amp; TODAY())</f>
        <v>0</v>
      </c>
      <c r="AA3" s="26"/>
      <c r="AB3" s="18"/>
      <c r="AC3" s="18"/>
      <c r="AD3" s="18"/>
      <c r="AE3" s="27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M3" s="24"/>
      <c r="BO3" s="23"/>
    </row>
    <row r="4" spans="1:80" ht="18.600000000000001" thickTop="1" thickBot="1">
      <c r="A4" s="18"/>
      <c r="B4" s="123" t="s">
        <v>19</v>
      </c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5"/>
      <c r="AA4" s="26"/>
      <c r="AB4" s="18"/>
      <c r="AC4" s="18"/>
      <c r="AD4" s="18"/>
      <c r="AE4" s="27"/>
      <c r="AF4" s="18"/>
      <c r="AG4" s="18"/>
      <c r="AH4" s="1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3"/>
      <c r="BM4" s="24"/>
      <c r="BO4" s="23"/>
    </row>
    <row r="5" spans="1:80" ht="20.399999999999999">
      <c r="A5" s="18"/>
      <c r="B5" s="29" t="s">
        <v>0</v>
      </c>
      <c r="C5" s="30"/>
      <c r="D5" s="30"/>
      <c r="E5" s="30"/>
      <c r="F5" s="31"/>
      <c r="G5" s="29" t="s">
        <v>1</v>
      </c>
      <c r="H5" s="30"/>
      <c r="I5" s="30"/>
      <c r="J5" s="30"/>
      <c r="K5" s="31"/>
      <c r="L5" s="32" t="s">
        <v>2</v>
      </c>
      <c r="M5" s="30"/>
      <c r="N5" s="30"/>
      <c r="O5" s="30"/>
      <c r="P5" s="31"/>
      <c r="Q5" s="32" t="str">
        <f>Q19</f>
        <v>Revenue</v>
      </c>
      <c r="R5" s="30"/>
      <c r="S5" s="30"/>
      <c r="T5" s="30"/>
      <c r="U5" s="33"/>
      <c r="V5" s="32" t="str">
        <f>V19</f>
        <v>du Tech</v>
      </c>
      <c r="W5" s="30"/>
      <c r="X5" s="30"/>
      <c r="Y5" s="30"/>
      <c r="Z5" s="33"/>
      <c r="AA5" s="18"/>
      <c r="AB5" s="18"/>
      <c r="AC5" s="19"/>
      <c r="AD5" s="19"/>
      <c r="AE5" s="26">
        <f ca="1">SUMIFS(B:B, A:A, "&gt;=" &amp; DATE(YEAR(TODAY()), INT((MONTH(TODAY())-1)/3)*3 + 1, 1), A:A, "&lt;=" &amp; TODAY())</f>
        <v>0</v>
      </c>
      <c r="AF5" s="26"/>
      <c r="AG5" s="19"/>
      <c r="AH5" s="19"/>
      <c r="AI5" s="19"/>
      <c r="AJ5" s="27"/>
      <c r="AK5" s="19"/>
      <c r="AL5" s="19"/>
      <c r="AM5" s="19"/>
      <c r="AN5" s="34" t="s">
        <v>0</v>
      </c>
      <c r="AO5" s="35"/>
      <c r="AP5" s="36"/>
      <c r="AQ5" s="34" t="s">
        <v>20</v>
      </c>
      <c r="AR5" s="35"/>
      <c r="AS5" s="36"/>
      <c r="AT5" s="34" t="s">
        <v>21</v>
      </c>
      <c r="AU5" s="35"/>
      <c r="AV5" s="36"/>
      <c r="AW5" s="34" t="s">
        <v>22</v>
      </c>
      <c r="AX5" s="35"/>
      <c r="AY5" s="36"/>
      <c r="AZ5" s="34" t="s">
        <v>23</v>
      </c>
      <c r="BA5" s="35"/>
      <c r="BB5" s="36"/>
      <c r="BC5" s="34" t="s">
        <v>24</v>
      </c>
      <c r="BD5" s="35"/>
      <c r="BE5" s="36"/>
      <c r="BF5" s="34" t="s">
        <v>25</v>
      </c>
      <c r="BG5" s="35"/>
      <c r="BH5" s="36"/>
      <c r="BI5" s="34" t="s">
        <v>26</v>
      </c>
      <c r="BJ5" s="35"/>
      <c r="BK5" s="36"/>
      <c r="BM5" s="24"/>
      <c r="BO5" s="23"/>
    </row>
    <row r="6" spans="1:80" ht="17.399999999999999">
      <c r="A6" s="37"/>
      <c r="B6" s="38"/>
      <c r="C6" s="37"/>
      <c r="D6" s="37"/>
      <c r="E6" s="37"/>
      <c r="F6" s="37"/>
      <c r="G6" s="38"/>
      <c r="H6" s="37"/>
      <c r="I6" s="37"/>
      <c r="J6" s="37"/>
      <c r="K6" s="37"/>
      <c r="U6" s="39"/>
      <c r="Z6" s="39"/>
      <c r="AA6" s="37"/>
      <c r="AB6" s="37"/>
      <c r="AC6" s="37"/>
      <c r="AD6" s="40"/>
      <c r="AE6" s="37"/>
      <c r="AF6" s="37"/>
      <c r="AG6" s="37"/>
      <c r="AH6" s="37"/>
      <c r="AI6" s="37"/>
      <c r="AJ6" s="2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BM6" s="41"/>
      <c r="BO6" s="42" t="s">
        <v>27</v>
      </c>
    </row>
    <row r="7" spans="1:80">
      <c r="B7" s="43"/>
      <c r="G7" s="43"/>
      <c r="U7" s="39"/>
      <c r="Z7" s="39"/>
      <c r="AD7" s="40"/>
      <c r="AJ7" s="27"/>
      <c r="BM7" s="41"/>
      <c r="BN7" s="44" t="s">
        <v>28</v>
      </c>
    </row>
    <row r="8" spans="1:80">
      <c r="B8" s="43"/>
      <c r="G8" s="43"/>
      <c r="U8" s="39"/>
      <c r="Z8" s="39"/>
      <c r="AD8" s="40"/>
      <c r="AJ8" s="27"/>
      <c r="AW8" s="18"/>
      <c r="BM8" s="41"/>
      <c r="BO8" s="22" t="s">
        <v>29</v>
      </c>
    </row>
    <row r="9" spans="1:80" ht="27.6" customHeight="1">
      <c r="B9" s="43"/>
      <c r="G9" s="43"/>
      <c r="U9" s="39"/>
      <c r="Z9" s="39"/>
      <c r="AD9" s="40"/>
      <c r="AJ9" s="27"/>
      <c r="BM9" s="41"/>
      <c r="BO9" s="45" t="str">
        <f>$AM$19</f>
        <v>FOGH</v>
      </c>
      <c r="BP9" s="121" t="s">
        <v>0</v>
      </c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</row>
    <row r="10" spans="1:80">
      <c r="B10" s="43"/>
      <c r="G10" s="43"/>
      <c r="U10" s="39"/>
      <c r="Z10" s="39"/>
      <c r="AD10" s="40"/>
      <c r="AJ10" s="27"/>
      <c r="BM10" s="41"/>
      <c r="BO10" s="126" t="s">
        <v>30</v>
      </c>
      <c r="BP10" s="47" t="s">
        <v>31</v>
      </c>
      <c r="BQ10" s="47"/>
      <c r="BR10" s="47"/>
      <c r="BS10" s="47" t="s">
        <v>32</v>
      </c>
      <c r="BT10" s="47"/>
      <c r="BU10" s="47"/>
      <c r="BV10" s="47" t="s">
        <v>33</v>
      </c>
      <c r="BW10" s="47"/>
      <c r="BX10" s="47"/>
      <c r="BY10" s="47" t="s">
        <v>34</v>
      </c>
      <c r="BZ10" s="47"/>
      <c r="CA10" s="47"/>
    </row>
    <row r="11" spans="1:80">
      <c r="B11" s="43"/>
      <c r="G11" s="43"/>
      <c r="U11" s="39"/>
      <c r="Z11" s="39"/>
      <c r="AD11" s="40"/>
      <c r="AJ11" s="27"/>
      <c r="BM11" s="41"/>
      <c r="BO11" s="127"/>
      <c r="BP11" s="49" t="s">
        <v>35</v>
      </c>
      <c r="BQ11" s="50" t="s">
        <v>36</v>
      </c>
      <c r="BR11" s="50" t="s">
        <v>37</v>
      </c>
      <c r="BS11" s="50" t="s">
        <v>35</v>
      </c>
      <c r="BT11" s="50" t="s">
        <v>36</v>
      </c>
      <c r="BU11" s="50" t="s">
        <v>37</v>
      </c>
      <c r="BV11" s="50" t="s">
        <v>35</v>
      </c>
      <c r="BW11" s="50" t="s">
        <v>36</v>
      </c>
      <c r="BX11" s="50" t="s">
        <v>37</v>
      </c>
      <c r="BY11" s="50" t="s">
        <v>35</v>
      </c>
      <c r="BZ11" s="50" t="s">
        <v>36</v>
      </c>
      <c r="CA11" s="50" t="s">
        <v>37</v>
      </c>
    </row>
    <row r="12" spans="1:80">
      <c r="B12" s="43"/>
      <c r="G12" s="43"/>
      <c r="U12" s="39"/>
      <c r="Z12" s="39"/>
      <c r="AD12" s="40"/>
      <c r="AJ12" s="27"/>
      <c r="BM12" s="41"/>
      <c r="BO12" s="45" t="str">
        <f>$AM$23</f>
        <v>Abdel Azim Sharabati</v>
      </c>
      <c r="BP12" s="51" t="e">
        <f>SUMIFS([1]!tblActvChurn[LINES],[1]!tblActvChurn[MONTH],DATE(YEAR($C$1),MONTH($C$1),1),[1]!tblActvChurn[KPI],$BP$9,[1]!tblActvChurn[VERTICAL],$BO$10,[1]!tblActvChurn[AM],$BO12,[1]!tblActvChurn[RATEPLAN_TYPE],$BP$10,[1]!tblActvChurn[PG_TYPE],BP$11)</f>
        <v>#REF!</v>
      </c>
      <c r="BQ12" s="51" t="e">
        <f>SUMIFS([1]!tblActvChurn[LINES],[1]!tblActvChurn[MONTH],DATE(YEAR($C$1),MONTH($C$1),1),[1]!tblActvChurn[KPI],$BP$9,[1]!tblActvChurn[VERTICAL],$BO$10,[1]!tblActvChurn[AM],$BO12,[1]!tblActvChurn[RATEPLAN_TYPE],$BP$10,[1]!tblActvChurn[PG_TYPE],BQ$11)</f>
        <v>#REF!</v>
      </c>
      <c r="BR12" s="51" t="e">
        <f t="shared" ref="BR12:BR22" si="0">SUM(BP12:BQ12)</f>
        <v>#REF!</v>
      </c>
      <c r="BS12" s="51" t="e">
        <f>SUMIFS([1]!tblActvChurn[LINES],[1]!tblActvChurn[MONTH],DATE(YEAR($C$1),MONTH($C$1),1),[1]!tblActvChurn[KPI],$BP$9,[1]!tblActvChurn[VERTICAL],$BO$10,[1]!tblActvChurn[AM],$BO12,[1]!tblActvChurn[RATEPLAN_TYPE],$BS$10,[1]!tblActvChurn[PG_TYPE],BS$11)</f>
        <v>#REF!</v>
      </c>
      <c r="BT12" s="51" t="e">
        <f>SUMIFS([1]!tblActvChurn[LINES],[1]!tblActvChurn[MONTH],DATE(YEAR($C$1),MONTH($C$1),1),[1]!tblActvChurn[KPI],$BP$9,[1]!tblActvChurn[VERTICAL],$BO$10,[1]!tblActvChurn[AM],$BO12,[1]!tblActvChurn[RATEPLAN_TYPE],$BS$10,[1]!tblActvChurn[PG_TYPE],BT$11)</f>
        <v>#REF!</v>
      </c>
      <c r="BU12" s="51" t="e">
        <f t="shared" ref="BU12:BU22" si="1">SUM(BS12:BT12)</f>
        <v>#REF!</v>
      </c>
      <c r="BV12" s="51" t="e">
        <f>SUMIFS([1]!tblActvChurn[LINES],[1]!tblActvChurn[MONTH],DATE(YEAR($C$1),MONTH($C$1),1),[1]!tblActvChurn[KPI],$BP$9,[1]!tblActvChurn[VERTICAL],$BO$10,[1]!tblActvChurn[AM],$BO12,[1]!tblActvChurn[RATEPLAN_TYPE],$BV$10,[1]!tblActvChurn[PG_TYPE],BV$11)</f>
        <v>#REF!</v>
      </c>
      <c r="BW12" s="51" t="e">
        <f>SUMIFS([1]!tblActvChurn[LINES],[1]!tblActvChurn[MONTH],DATE(YEAR($C$1),MONTH($C$1),1),[1]!tblActvChurn[KPI],$BP$9,[1]!tblActvChurn[VERTICAL],$BO$10,[1]!tblActvChurn[AM],$BO12,[1]!tblActvChurn[RATEPLAN_TYPE],$BV$10,[1]!tblActvChurn[PG_TYPE],BW$11)</f>
        <v>#REF!</v>
      </c>
      <c r="BX12" s="51" t="e">
        <f t="shared" ref="BX12:BX22" si="2">SUM(BV12:BW12)</f>
        <v>#REF!</v>
      </c>
      <c r="BY12" s="51" t="e">
        <f t="shared" ref="BY12:BY22" si="3">BP12+BS12+BV12</f>
        <v>#REF!</v>
      </c>
      <c r="BZ12" s="51" t="e">
        <f t="shared" ref="BZ12:BZ22" si="4">BQ12+BT12+BW12</f>
        <v>#REF!</v>
      </c>
      <c r="CA12" s="51" t="e">
        <f t="shared" ref="CA12:CA22" si="5">SUM(BY12:BZ12)</f>
        <v>#REF!</v>
      </c>
      <c r="CB12" s="52"/>
    </row>
    <row r="13" spans="1:80">
      <c r="B13" s="43"/>
      <c r="G13" s="43"/>
      <c r="U13" s="39"/>
      <c r="Z13" s="39"/>
      <c r="AJ13" s="27"/>
      <c r="BM13" s="41"/>
      <c r="BO13" s="45" t="str">
        <f>$AM$24</f>
        <v>Abraham Cherian</v>
      </c>
      <c r="BP13" s="51" t="e">
        <f>SUMIFS([1]!tblActvChurn[LINES],[1]!tblActvChurn[MONTH],DATE(YEAR($C$1),MONTH($C$1),1),[1]!tblActvChurn[KPI],$BP$9,[1]!tblActvChurn[VERTICAL],$BO$10,[1]!tblActvChurn[AM],$BO13,[1]!tblActvChurn[RATEPLAN_TYPE],$BP$10,[1]!tblActvChurn[PG_TYPE],BP$11)</f>
        <v>#REF!</v>
      </c>
      <c r="BQ13" s="51" t="e">
        <f>SUMIFS([1]!tblActvChurn[LINES],[1]!tblActvChurn[MONTH],DATE(YEAR($C$1),MONTH($C$1),1),[1]!tblActvChurn[KPI],$BP$9,[1]!tblActvChurn[VERTICAL],$BO$10,[1]!tblActvChurn[AM],$BO13,[1]!tblActvChurn[RATEPLAN_TYPE],$BP$10,[1]!tblActvChurn[PG_TYPE],BQ$11)</f>
        <v>#REF!</v>
      </c>
      <c r="BR13" s="51" t="e">
        <f t="shared" si="0"/>
        <v>#REF!</v>
      </c>
      <c r="BS13" s="51" t="e">
        <f>SUMIFS([1]!tblActvChurn[LINES],[1]!tblActvChurn[MONTH],DATE(YEAR($C$1),MONTH($C$1),1),[1]!tblActvChurn[KPI],$BP$9,[1]!tblActvChurn[VERTICAL],$BO$10,[1]!tblActvChurn[AM],$BO13,[1]!tblActvChurn[RATEPLAN_TYPE],$BS$10,[1]!tblActvChurn[PG_TYPE],BS$11)</f>
        <v>#REF!</v>
      </c>
      <c r="BT13" s="51" t="e">
        <f>SUMIFS([1]!tblActvChurn[LINES],[1]!tblActvChurn[MONTH],DATE(YEAR($C$1),MONTH($C$1),1),[1]!tblActvChurn[KPI],$BP$9,[1]!tblActvChurn[VERTICAL],$BO$10,[1]!tblActvChurn[AM],$BO13,[1]!tblActvChurn[RATEPLAN_TYPE],$BS$10,[1]!tblActvChurn[PG_TYPE],BT$11)</f>
        <v>#REF!</v>
      </c>
      <c r="BU13" s="51" t="e">
        <f t="shared" si="1"/>
        <v>#REF!</v>
      </c>
      <c r="BV13" s="51" t="e">
        <f>SUMIFS([1]!tblActvChurn[LINES],[1]!tblActvChurn[MONTH],DATE(YEAR($C$1),MONTH($C$1),1),[1]!tblActvChurn[KPI],$BP$9,[1]!tblActvChurn[VERTICAL],$BO$10,[1]!tblActvChurn[AM],$BO13,[1]!tblActvChurn[RATEPLAN_TYPE],$BV$10,[1]!tblActvChurn[PG_TYPE],BV$11)</f>
        <v>#REF!</v>
      </c>
      <c r="BW13" s="51" t="e">
        <f>SUMIFS([1]!tblActvChurn[LINES],[1]!tblActvChurn[MONTH],DATE(YEAR($C$1),MONTH($C$1),1),[1]!tblActvChurn[KPI],$BP$9,[1]!tblActvChurn[VERTICAL],$BO$10,[1]!tblActvChurn[AM],$BO13,[1]!tblActvChurn[RATEPLAN_TYPE],$BV$10,[1]!tblActvChurn[PG_TYPE],BW$11)</f>
        <v>#REF!</v>
      </c>
      <c r="BX13" s="51" t="e">
        <f t="shared" si="2"/>
        <v>#REF!</v>
      </c>
      <c r="BY13" s="51" t="e">
        <f t="shared" si="3"/>
        <v>#REF!</v>
      </c>
      <c r="BZ13" s="51" t="e">
        <f t="shared" si="4"/>
        <v>#REF!</v>
      </c>
      <c r="CA13" s="51" t="e">
        <f t="shared" si="5"/>
        <v>#REF!</v>
      </c>
      <c r="CB13" s="52"/>
    </row>
    <row r="14" spans="1:80">
      <c r="B14" s="43"/>
      <c r="G14" s="43"/>
      <c r="U14" s="39"/>
      <c r="Z14" s="39"/>
      <c r="AJ14" s="27"/>
      <c r="BM14" s="41"/>
      <c r="BO14" s="45" t="str">
        <f>$AM$25</f>
        <v>Arjun Subaraman</v>
      </c>
      <c r="BP14" s="51" t="e">
        <f>SUMIFS([1]!tblActvChurn[LINES],[1]!tblActvChurn[MONTH],DATE(YEAR($C$1),MONTH($C$1),1),[1]!tblActvChurn[KPI],$BP$9,[1]!tblActvChurn[VERTICAL],$BO$10,[1]!tblActvChurn[AM],$BO14,[1]!tblActvChurn[RATEPLAN_TYPE],$BP$10,[1]!tblActvChurn[PG_TYPE],BP$11)</f>
        <v>#REF!</v>
      </c>
      <c r="BQ14" s="51" t="e">
        <f>SUMIFS([1]!tblActvChurn[LINES],[1]!tblActvChurn[MONTH],DATE(YEAR($C$1),MONTH($C$1),1),[1]!tblActvChurn[KPI],$BP$9,[1]!tblActvChurn[VERTICAL],$BO$10,[1]!tblActvChurn[AM],$BO14,[1]!tblActvChurn[RATEPLAN_TYPE],$BP$10,[1]!tblActvChurn[PG_TYPE],BQ$11)</f>
        <v>#REF!</v>
      </c>
      <c r="BR14" s="51" t="e">
        <f t="shared" si="0"/>
        <v>#REF!</v>
      </c>
      <c r="BS14" s="51" t="e">
        <f>SUMIFS([1]!tblActvChurn[LINES],[1]!tblActvChurn[MONTH],DATE(YEAR($C$1),MONTH($C$1),1),[1]!tblActvChurn[KPI],$BP$9,[1]!tblActvChurn[VERTICAL],$BO$10,[1]!tblActvChurn[AM],$BO14,[1]!tblActvChurn[RATEPLAN_TYPE],$BS$10,[1]!tblActvChurn[PG_TYPE],BS$11)</f>
        <v>#REF!</v>
      </c>
      <c r="BT14" s="51" t="e">
        <f>SUMIFS([1]!tblActvChurn[LINES],[1]!tblActvChurn[MONTH],DATE(YEAR($C$1),MONTH($C$1),1),[1]!tblActvChurn[KPI],$BP$9,[1]!tblActvChurn[VERTICAL],$BO$10,[1]!tblActvChurn[AM],$BO14,[1]!tblActvChurn[RATEPLAN_TYPE],$BS$10,[1]!tblActvChurn[PG_TYPE],BT$11)</f>
        <v>#REF!</v>
      </c>
      <c r="BU14" s="51" t="e">
        <f t="shared" si="1"/>
        <v>#REF!</v>
      </c>
      <c r="BV14" s="51" t="e">
        <f>SUMIFS([1]!tblActvChurn[LINES],[1]!tblActvChurn[MONTH],DATE(YEAR($C$1),MONTH($C$1),1),[1]!tblActvChurn[KPI],$BP$9,[1]!tblActvChurn[VERTICAL],$BO$10,[1]!tblActvChurn[AM],$BO14,[1]!tblActvChurn[RATEPLAN_TYPE],$BV$10,[1]!tblActvChurn[PG_TYPE],BV$11)</f>
        <v>#REF!</v>
      </c>
      <c r="BW14" s="51" t="e">
        <f>SUMIFS([1]!tblActvChurn[LINES],[1]!tblActvChurn[MONTH],DATE(YEAR($C$1),MONTH($C$1),1),[1]!tblActvChurn[KPI],$BP$9,[1]!tblActvChurn[VERTICAL],$BO$10,[1]!tblActvChurn[AM],$BO14,[1]!tblActvChurn[RATEPLAN_TYPE],$BV$10,[1]!tblActvChurn[PG_TYPE],BW$11)</f>
        <v>#REF!</v>
      </c>
      <c r="BX14" s="51" t="e">
        <f t="shared" si="2"/>
        <v>#REF!</v>
      </c>
      <c r="BY14" s="51" t="e">
        <f t="shared" si="3"/>
        <v>#REF!</v>
      </c>
      <c r="BZ14" s="51" t="e">
        <f t="shared" si="4"/>
        <v>#REF!</v>
      </c>
      <c r="CA14" s="51" t="e">
        <f t="shared" si="5"/>
        <v>#REF!</v>
      </c>
      <c r="CB14" s="52"/>
    </row>
    <row r="15" spans="1:80">
      <c r="B15" s="43"/>
      <c r="G15" s="43"/>
      <c r="U15" s="39"/>
      <c r="Z15" s="39"/>
      <c r="AJ15" s="27"/>
      <c r="BM15" s="41"/>
      <c r="BO15" s="45" t="str">
        <f>$AM$26</f>
        <v>Ehab Hajou</v>
      </c>
      <c r="BP15" s="51" t="e">
        <f>SUMIFS([1]!tblActvChurn[LINES],[1]!tblActvChurn[MONTH],DATE(YEAR($C$1),MONTH($C$1),1),[1]!tblActvChurn[KPI],$BP$9,[1]!tblActvChurn[VERTICAL],$BO$10,[1]!tblActvChurn[AM],$BO15,[1]!tblActvChurn[RATEPLAN_TYPE],$BP$10,[1]!tblActvChurn[PG_TYPE],BP$11)</f>
        <v>#REF!</v>
      </c>
      <c r="BQ15" s="51" t="e">
        <f>SUMIFS([1]!tblActvChurn[LINES],[1]!tblActvChurn[MONTH],DATE(YEAR($C$1),MONTH($C$1),1),[1]!tblActvChurn[KPI],$BP$9,[1]!tblActvChurn[VERTICAL],$BO$10,[1]!tblActvChurn[AM],$BO15,[1]!tblActvChurn[RATEPLAN_TYPE],$BP$10,[1]!tblActvChurn[PG_TYPE],BQ$11)</f>
        <v>#REF!</v>
      </c>
      <c r="BR15" s="51" t="e">
        <f t="shared" si="0"/>
        <v>#REF!</v>
      </c>
      <c r="BS15" s="51" t="e">
        <f>SUMIFS([1]!tblActvChurn[LINES],[1]!tblActvChurn[MONTH],DATE(YEAR($C$1),MONTH($C$1),1),[1]!tblActvChurn[KPI],$BP$9,[1]!tblActvChurn[VERTICAL],$BO$10,[1]!tblActvChurn[AM],$BO15,[1]!tblActvChurn[RATEPLAN_TYPE],$BS$10,[1]!tblActvChurn[PG_TYPE],BS$11)</f>
        <v>#REF!</v>
      </c>
      <c r="BT15" s="51" t="e">
        <f>SUMIFS([1]!tblActvChurn[LINES],[1]!tblActvChurn[MONTH],DATE(YEAR($C$1),MONTH($C$1),1),[1]!tblActvChurn[KPI],$BP$9,[1]!tblActvChurn[VERTICAL],$BO$10,[1]!tblActvChurn[AM],$BO15,[1]!tblActvChurn[RATEPLAN_TYPE],$BS$10,[1]!tblActvChurn[PG_TYPE],BT$11)</f>
        <v>#REF!</v>
      </c>
      <c r="BU15" s="51" t="e">
        <f t="shared" si="1"/>
        <v>#REF!</v>
      </c>
      <c r="BV15" s="51" t="e">
        <f>SUMIFS([1]!tblActvChurn[LINES],[1]!tblActvChurn[MONTH],DATE(YEAR($C$1),MONTH($C$1),1),[1]!tblActvChurn[KPI],$BP$9,[1]!tblActvChurn[VERTICAL],$BO$10,[1]!tblActvChurn[AM],$BO15,[1]!tblActvChurn[RATEPLAN_TYPE],$BV$10,[1]!tblActvChurn[PG_TYPE],BV$11)</f>
        <v>#REF!</v>
      </c>
      <c r="BW15" s="51" t="e">
        <f>SUMIFS([1]!tblActvChurn[LINES],[1]!tblActvChurn[MONTH],DATE(YEAR($C$1),MONTH($C$1),1),[1]!tblActvChurn[KPI],$BP$9,[1]!tblActvChurn[VERTICAL],$BO$10,[1]!tblActvChurn[AM],$BO15,[1]!tblActvChurn[RATEPLAN_TYPE],$BV$10,[1]!tblActvChurn[PG_TYPE],BW$11)</f>
        <v>#REF!</v>
      </c>
      <c r="BX15" s="51" t="e">
        <f t="shared" si="2"/>
        <v>#REF!</v>
      </c>
      <c r="BY15" s="51" t="e">
        <f t="shared" si="3"/>
        <v>#REF!</v>
      </c>
      <c r="BZ15" s="51" t="e">
        <f t="shared" si="4"/>
        <v>#REF!</v>
      </c>
      <c r="CA15" s="51" t="e">
        <f t="shared" si="5"/>
        <v>#REF!</v>
      </c>
      <c r="CB15" s="52"/>
    </row>
    <row r="16" spans="1:80" ht="14.4" thickBot="1">
      <c r="B16" s="53"/>
      <c r="C16" s="54"/>
      <c r="D16" s="54"/>
      <c r="E16" s="54"/>
      <c r="F16" s="54"/>
      <c r="G16" s="53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5"/>
      <c r="V16" s="53"/>
      <c r="W16" s="54"/>
      <c r="X16" s="54"/>
      <c r="Y16" s="54"/>
      <c r="Z16" s="55"/>
      <c r="AJ16" s="27"/>
      <c r="BM16" s="41"/>
      <c r="BO16" s="45" t="str">
        <f>AM27</f>
        <v>Ghassan Fouany</v>
      </c>
      <c r="BP16" s="51" t="e">
        <f>SUMIFS([1]!tblActvChurn[LINES],[1]!tblActvChurn[MONTH],DATE(YEAR($C$1),MONTH($C$1),1),[1]!tblActvChurn[KPI],$BP$9,[1]!tblActvChurn[VERTICAL],$BO$10,[1]!tblActvChurn[AM],$BO16,[1]!tblActvChurn[RATEPLAN_TYPE],$BP$10,[1]!tblActvChurn[PG_TYPE],BP$11)</f>
        <v>#REF!</v>
      </c>
      <c r="BQ16" s="51" t="e">
        <f>SUMIFS([1]!tblActvChurn[LINES],[1]!tblActvChurn[MONTH],DATE(YEAR($C$1),MONTH($C$1),1),[1]!tblActvChurn[KPI],$BP$9,[1]!tblActvChurn[VERTICAL],$BO$10,[1]!tblActvChurn[AM],$BO16,[1]!tblActvChurn[RATEPLAN_TYPE],$BP$10,[1]!tblActvChurn[PG_TYPE],BQ$11)</f>
        <v>#REF!</v>
      </c>
      <c r="BR16" s="51" t="e">
        <f t="shared" si="0"/>
        <v>#REF!</v>
      </c>
      <c r="BS16" s="51" t="e">
        <f>SUMIFS([1]!tblActvChurn[LINES],[1]!tblActvChurn[MONTH],DATE(YEAR($C$1),MONTH($C$1),1),[1]!tblActvChurn[KPI],$BP$9,[1]!tblActvChurn[VERTICAL],$BO$10,[1]!tblActvChurn[AM],$BO16,[1]!tblActvChurn[RATEPLAN_TYPE],$BS$10,[1]!tblActvChurn[PG_TYPE],BS$11)</f>
        <v>#REF!</v>
      </c>
      <c r="BT16" s="51" t="e">
        <f>SUMIFS([1]!tblActvChurn[LINES],[1]!tblActvChurn[MONTH],DATE(YEAR($C$1),MONTH($C$1),1),[1]!tblActvChurn[KPI],$BP$9,[1]!tblActvChurn[VERTICAL],$BO$10,[1]!tblActvChurn[AM],$BO16,[1]!tblActvChurn[RATEPLAN_TYPE],$BS$10,[1]!tblActvChurn[PG_TYPE],BT$11)</f>
        <v>#REF!</v>
      </c>
      <c r="BU16" s="51" t="e">
        <f t="shared" si="1"/>
        <v>#REF!</v>
      </c>
      <c r="BV16" s="51" t="e">
        <f>SUMIFS([1]!tblActvChurn[LINES],[1]!tblActvChurn[MONTH],DATE(YEAR($C$1),MONTH($C$1),1),[1]!tblActvChurn[KPI],$BP$9,[1]!tblActvChurn[VERTICAL],$BO$10,[1]!tblActvChurn[AM],$BO16,[1]!tblActvChurn[RATEPLAN_TYPE],$BV$10,[1]!tblActvChurn[PG_TYPE],BV$11)</f>
        <v>#REF!</v>
      </c>
      <c r="BW16" s="51" t="e">
        <f>SUMIFS([1]!tblActvChurn[LINES],[1]!tblActvChurn[MONTH],DATE(YEAR($C$1),MONTH($C$1),1),[1]!tblActvChurn[KPI],$BP$9,[1]!tblActvChurn[VERTICAL],$BO$10,[1]!tblActvChurn[AM],$BO16,[1]!tblActvChurn[RATEPLAN_TYPE],$BV$10,[1]!tblActvChurn[PG_TYPE],BW$11)</f>
        <v>#REF!</v>
      </c>
      <c r="BX16" s="51" t="e">
        <f t="shared" si="2"/>
        <v>#REF!</v>
      </c>
      <c r="BY16" s="51" t="e">
        <f t="shared" si="3"/>
        <v>#REF!</v>
      </c>
      <c r="BZ16" s="51" t="e">
        <f t="shared" si="4"/>
        <v>#REF!</v>
      </c>
      <c r="CA16" s="51" t="e">
        <f t="shared" si="5"/>
        <v>#REF!</v>
      </c>
      <c r="CB16" s="52"/>
    </row>
    <row r="17" spans="1:85" ht="14.4" thickTop="1">
      <c r="V17" s="18"/>
      <c r="AJ17" s="27"/>
      <c r="BM17" s="41"/>
      <c r="BO17" s="45" t="str">
        <f>AM28</f>
        <v>Inayat Fazili</v>
      </c>
      <c r="BP17" s="51" t="e">
        <f>SUMIFS([1]!tblActvChurn[LINES],[1]!tblActvChurn[MONTH],DATE(YEAR($C$1),MONTH($C$1),1),[1]!tblActvChurn[KPI],$BP$9,[1]!tblActvChurn[VERTICAL],$BO$10,[1]!tblActvChurn[AM],$BO17,[1]!tblActvChurn[RATEPLAN_TYPE],$BP$10,[1]!tblActvChurn[PG_TYPE],BP$11)</f>
        <v>#REF!</v>
      </c>
      <c r="BQ17" s="51" t="e">
        <f>SUMIFS([1]!tblActvChurn[LINES],[1]!tblActvChurn[MONTH],DATE(YEAR($C$1),MONTH($C$1),1),[1]!tblActvChurn[KPI],$BP$9,[1]!tblActvChurn[VERTICAL],$BO$10,[1]!tblActvChurn[AM],$BO17,[1]!tblActvChurn[RATEPLAN_TYPE],$BP$10,[1]!tblActvChurn[PG_TYPE],BQ$11)</f>
        <v>#REF!</v>
      </c>
      <c r="BR17" s="51" t="e">
        <f t="shared" si="0"/>
        <v>#REF!</v>
      </c>
      <c r="BS17" s="51" t="e">
        <f>SUMIFS([1]!tblActvChurn[LINES],[1]!tblActvChurn[MONTH],DATE(YEAR($C$1),MONTH($C$1),1),[1]!tblActvChurn[KPI],$BP$9,[1]!tblActvChurn[VERTICAL],$BO$10,[1]!tblActvChurn[AM],$BO17,[1]!tblActvChurn[RATEPLAN_TYPE],$BS$10,[1]!tblActvChurn[PG_TYPE],BS$11)</f>
        <v>#REF!</v>
      </c>
      <c r="BT17" s="51" t="e">
        <f>SUMIFS([1]!tblActvChurn[LINES],[1]!tblActvChurn[MONTH],DATE(YEAR($C$1),MONTH($C$1),1),[1]!tblActvChurn[KPI],$BP$9,[1]!tblActvChurn[VERTICAL],$BO$10,[1]!tblActvChurn[AM],$BO17,[1]!tblActvChurn[RATEPLAN_TYPE],$BS$10,[1]!tblActvChurn[PG_TYPE],BT$11)</f>
        <v>#REF!</v>
      </c>
      <c r="BU17" s="51" t="e">
        <f t="shared" si="1"/>
        <v>#REF!</v>
      </c>
      <c r="BV17" s="51" t="e">
        <f>SUMIFS([1]!tblActvChurn[LINES],[1]!tblActvChurn[MONTH],DATE(YEAR($C$1),MONTH($C$1),1),[1]!tblActvChurn[KPI],$BP$9,[1]!tblActvChurn[VERTICAL],$BO$10,[1]!tblActvChurn[AM],$BO17,[1]!tblActvChurn[RATEPLAN_TYPE],$BV$10,[1]!tblActvChurn[PG_TYPE],BV$11)</f>
        <v>#REF!</v>
      </c>
      <c r="BW17" s="51" t="e">
        <f>SUMIFS([1]!tblActvChurn[LINES],[1]!tblActvChurn[MONTH],DATE(YEAR($C$1),MONTH($C$1),1),[1]!tblActvChurn[KPI],$BP$9,[1]!tblActvChurn[VERTICAL],$BO$10,[1]!tblActvChurn[AM],$BO17,[1]!tblActvChurn[RATEPLAN_TYPE],$BV$10,[1]!tblActvChurn[PG_TYPE],BW$11)</f>
        <v>#REF!</v>
      </c>
      <c r="BX17" s="51" t="e">
        <f t="shared" si="2"/>
        <v>#REF!</v>
      </c>
      <c r="BY17" s="51" t="e">
        <f t="shared" si="3"/>
        <v>#REF!</v>
      </c>
      <c r="BZ17" s="51" t="e">
        <f t="shared" si="4"/>
        <v>#REF!</v>
      </c>
      <c r="CA17" s="51" t="e">
        <f t="shared" si="5"/>
        <v>#REF!</v>
      </c>
      <c r="CB17" s="52"/>
    </row>
    <row r="18" spans="1:85" ht="14.4" thickBot="1">
      <c r="A18" s="26" t="s">
        <v>38</v>
      </c>
      <c r="B18" s="26" t="s">
        <v>1</v>
      </c>
      <c r="C18" s="26"/>
      <c r="D18" s="26"/>
      <c r="G18" s="26" t="s">
        <v>1</v>
      </c>
      <c r="H18" s="26"/>
      <c r="I18" s="26"/>
      <c r="V18" s="18"/>
      <c r="AJ18" s="27"/>
      <c r="BM18" s="41"/>
      <c r="BO18" s="45" t="str">
        <f>AM29</f>
        <v>Mohamad Labban</v>
      </c>
      <c r="BP18" s="51" t="e">
        <f>SUMIFS([1]!tblActvChurn[LINES],[1]!tblActvChurn[MONTH],DATE(YEAR($C$1),MONTH($C$1),1),[1]!tblActvChurn[KPI],$BP$9,[1]!tblActvChurn[VERTICAL],$BO$10,[1]!tblActvChurn[AM],$BO18,[1]!tblActvChurn[RATEPLAN_TYPE],$BP$10,[1]!tblActvChurn[PG_TYPE],BP$11)</f>
        <v>#REF!</v>
      </c>
      <c r="BQ18" s="51" t="e">
        <f>SUMIFS([1]!tblActvChurn[LINES],[1]!tblActvChurn[MONTH],DATE(YEAR($C$1),MONTH($C$1),1),[1]!tblActvChurn[KPI],$BP$9,[1]!tblActvChurn[VERTICAL],$BO$10,[1]!tblActvChurn[AM],$BO18,[1]!tblActvChurn[RATEPLAN_TYPE],$BP$10,[1]!tblActvChurn[PG_TYPE],BQ$11)</f>
        <v>#REF!</v>
      </c>
      <c r="BR18" s="51" t="e">
        <f t="shared" si="0"/>
        <v>#REF!</v>
      </c>
      <c r="BS18" s="51" t="e">
        <f>SUMIFS([1]!tblActvChurn[LINES],[1]!tblActvChurn[MONTH],DATE(YEAR($C$1),MONTH($C$1),1),[1]!tblActvChurn[KPI],$BP$9,[1]!tblActvChurn[VERTICAL],$BO$10,[1]!tblActvChurn[AM],$BO18,[1]!tblActvChurn[RATEPLAN_TYPE],$BS$10,[1]!tblActvChurn[PG_TYPE],BS$11)</f>
        <v>#REF!</v>
      </c>
      <c r="BT18" s="51" t="e">
        <f>SUMIFS([1]!tblActvChurn[LINES],[1]!tblActvChurn[MONTH],DATE(YEAR($C$1),MONTH($C$1),1),[1]!tblActvChurn[KPI],$BP$9,[1]!tblActvChurn[VERTICAL],$BO$10,[1]!tblActvChurn[AM],$BO18,[1]!tblActvChurn[RATEPLAN_TYPE],$BS$10,[1]!tblActvChurn[PG_TYPE],BT$11)</f>
        <v>#REF!</v>
      </c>
      <c r="BU18" s="51" t="e">
        <f t="shared" si="1"/>
        <v>#REF!</v>
      </c>
      <c r="BV18" s="51" t="e">
        <f>SUMIFS([1]!tblActvChurn[LINES],[1]!tblActvChurn[MONTH],DATE(YEAR($C$1),MONTH($C$1),1),[1]!tblActvChurn[KPI],$BP$9,[1]!tblActvChurn[VERTICAL],$BO$10,[1]!tblActvChurn[AM],$BO18,[1]!tblActvChurn[RATEPLAN_TYPE],$BV$10,[1]!tblActvChurn[PG_TYPE],BV$11)</f>
        <v>#REF!</v>
      </c>
      <c r="BW18" s="51" t="e">
        <f>SUMIFS([1]!tblActvChurn[LINES],[1]!tblActvChurn[MONTH],DATE(YEAR($C$1),MONTH($C$1),1),[1]!tblActvChurn[KPI],$BP$9,[1]!tblActvChurn[VERTICAL],$BO$10,[1]!tblActvChurn[AM],$BO18,[1]!tblActvChurn[RATEPLAN_TYPE],$BV$10,[1]!tblActvChurn[PG_TYPE],BW$11)</f>
        <v>#REF!</v>
      </c>
      <c r="BX18" s="51" t="e">
        <f t="shared" si="2"/>
        <v>#REF!</v>
      </c>
      <c r="BY18" s="51" t="e">
        <f t="shared" si="3"/>
        <v>#REF!</v>
      </c>
      <c r="BZ18" s="51" t="e">
        <f t="shared" si="4"/>
        <v>#REF!</v>
      </c>
      <c r="CA18" s="51" t="e">
        <f t="shared" si="5"/>
        <v>#REF!</v>
      </c>
      <c r="CB18" s="52"/>
    </row>
    <row r="19" spans="1:85" ht="14.85" customHeight="1" thickTop="1" thickBot="1">
      <c r="A19" s="128" t="s">
        <v>30</v>
      </c>
      <c r="B19" s="56" t="s">
        <v>0</v>
      </c>
      <c r="C19" s="56"/>
      <c r="D19" s="56"/>
      <c r="E19" s="56"/>
      <c r="F19" s="56"/>
      <c r="G19" s="57" t="s">
        <v>1</v>
      </c>
      <c r="H19" s="56"/>
      <c r="I19" s="56"/>
      <c r="J19" s="56"/>
      <c r="K19" s="56"/>
      <c r="L19" s="57" t="s">
        <v>2</v>
      </c>
      <c r="M19" s="56"/>
      <c r="N19" s="56"/>
      <c r="O19" s="56"/>
      <c r="P19" s="58"/>
      <c r="Q19" s="57" t="s">
        <v>3</v>
      </c>
      <c r="R19" s="56"/>
      <c r="S19" s="56"/>
      <c r="T19" s="56"/>
      <c r="U19" s="58"/>
      <c r="V19" s="56" t="s">
        <v>4</v>
      </c>
      <c r="W19" s="56"/>
      <c r="X19" s="56"/>
      <c r="Y19" s="56"/>
      <c r="Z19" s="58"/>
      <c r="AJ19" s="27"/>
      <c r="AL19" s="37"/>
      <c r="AM19" s="22" t="str">
        <f>A18</f>
        <v>FOGH</v>
      </c>
      <c r="BM19" s="41"/>
      <c r="BO19" s="45" t="e">
        <f>#REF!</f>
        <v>#REF!</v>
      </c>
      <c r="BP19" s="51" t="e">
        <f>SUMIFS([1]!tblActvChurn[LINES],[1]!tblActvChurn[MONTH],DATE(YEAR($C$1),MONTH($C$1),1),[1]!tblActvChurn[KPI],$BP$9,[1]!tblActvChurn[VERTICAL],$BO$10,[1]!tblActvChurn[AM],$BO19,[1]!tblActvChurn[RATEPLAN_TYPE],$BP$10,[1]!tblActvChurn[PG_TYPE],BP$11)</f>
        <v>#REF!</v>
      </c>
      <c r="BQ19" s="51" t="e">
        <f>SUMIFS([1]!tblActvChurn[LINES],[1]!tblActvChurn[MONTH],DATE(YEAR($C$1),MONTH($C$1),1),[1]!tblActvChurn[KPI],$BP$9,[1]!tblActvChurn[VERTICAL],$BO$10,[1]!tblActvChurn[AM],$BO19,[1]!tblActvChurn[RATEPLAN_TYPE],$BP$10,[1]!tblActvChurn[PG_TYPE],BQ$11)</f>
        <v>#REF!</v>
      </c>
      <c r="BR19" s="51" t="e">
        <f t="shared" si="0"/>
        <v>#REF!</v>
      </c>
      <c r="BS19" s="51" t="e">
        <f>SUMIFS([1]!tblActvChurn[LINES],[1]!tblActvChurn[MONTH],DATE(YEAR($C$1),MONTH($C$1),1),[1]!tblActvChurn[KPI],$BP$9,[1]!tblActvChurn[VERTICAL],$BO$10,[1]!tblActvChurn[AM],$BO19,[1]!tblActvChurn[RATEPLAN_TYPE],$BS$10,[1]!tblActvChurn[PG_TYPE],BS$11)</f>
        <v>#REF!</v>
      </c>
      <c r="BT19" s="51" t="e">
        <f>SUMIFS([1]!tblActvChurn[LINES],[1]!tblActvChurn[MONTH],DATE(YEAR($C$1),MONTH($C$1),1),[1]!tblActvChurn[KPI],$BP$9,[1]!tblActvChurn[VERTICAL],$BO$10,[1]!tblActvChurn[AM],$BO19,[1]!tblActvChurn[RATEPLAN_TYPE],$BS$10,[1]!tblActvChurn[PG_TYPE],BT$11)</f>
        <v>#REF!</v>
      </c>
      <c r="BU19" s="51" t="e">
        <f t="shared" si="1"/>
        <v>#REF!</v>
      </c>
      <c r="BV19" s="51" t="e">
        <f>SUMIFS([1]!tblActvChurn[LINES],[1]!tblActvChurn[MONTH],DATE(YEAR($C$1),MONTH($C$1),1),[1]!tblActvChurn[KPI],$BP$9,[1]!tblActvChurn[VERTICAL],$BO$10,[1]!tblActvChurn[AM],$BO19,[1]!tblActvChurn[RATEPLAN_TYPE],$BV$10,[1]!tblActvChurn[PG_TYPE],BV$11)</f>
        <v>#REF!</v>
      </c>
      <c r="BW19" s="51" t="e">
        <f>SUMIFS([1]!tblActvChurn[LINES],[1]!tblActvChurn[MONTH],DATE(YEAR($C$1),MONTH($C$1),1),[1]!tblActvChurn[KPI],$BP$9,[1]!tblActvChurn[VERTICAL],$BO$10,[1]!tblActvChurn[AM],$BO19,[1]!tblActvChurn[RATEPLAN_TYPE],$BV$10,[1]!tblActvChurn[PG_TYPE],BW$11)</f>
        <v>#REF!</v>
      </c>
      <c r="BX19" s="51" t="e">
        <f t="shared" si="2"/>
        <v>#REF!</v>
      </c>
      <c r="BY19" s="51" t="e">
        <f t="shared" si="3"/>
        <v>#REF!</v>
      </c>
      <c r="BZ19" s="51" t="e">
        <f t="shared" si="4"/>
        <v>#REF!</v>
      </c>
      <c r="CA19" s="51" t="e">
        <f t="shared" si="5"/>
        <v>#REF!</v>
      </c>
      <c r="CB19" s="52"/>
    </row>
    <row r="20" spans="1:85" ht="14.4" customHeight="1">
      <c r="A20" s="129"/>
      <c r="B20" s="59" t="s">
        <v>5</v>
      </c>
      <c r="C20" s="59"/>
      <c r="D20" s="59"/>
      <c r="E20" s="60" t="s">
        <v>6</v>
      </c>
      <c r="F20" s="61" t="s">
        <v>7</v>
      </c>
      <c r="G20" s="62" t="s">
        <v>5</v>
      </c>
      <c r="H20" s="59"/>
      <c r="I20" s="59"/>
      <c r="J20" s="60" t="s">
        <v>6</v>
      </c>
      <c r="K20" s="61" t="s">
        <v>7</v>
      </c>
      <c r="L20" s="62" t="s">
        <v>5</v>
      </c>
      <c r="M20" s="59"/>
      <c r="N20" s="59"/>
      <c r="O20" s="60" t="s">
        <v>6</v>
      </c>
      <c r="P20" s="63" t="s">
        <v>7</v>
      </c>
      <c r="Q20" s="62" t="s">
        <v>5</v>
      </c>
      <c r="R20" s="59"/>
      <c r="S20" s="59"/>
      <c r="T20" s="60" t="s">
        <v>6</v>
      </c>
      <c r="U20" s="63" t="s">
        <v>7</v>
      </c>
      <c r="V20" s="59" t="s">
        <v>5</v>
      </c>
      <c r="W20" s="59"/>
      <c r="X20" s="59"/>
      <c r="Y20" s="60" t="s">
        <v>6</v>
      </c>
      <c r="Z20" s="63" t="s">
        <v>7</v>
      </c>
      <c r="AJ20" s="27"/>
      <c r="AM20" s="131" t="str">
        <f>A19</f>
        <v>KEY-B</v>
      </c>
      <c r="AN20" s="34" t="s">
        <v>0</v>
      </c>
      <c r="AO20" s="35"/>
      <c r="AP20" s="36"/>
      <c r="AQ20" s="34" t="s">
        <v>20</v>
      </c>
      <c r="AR20" s="35"/>
      <c r="AS20" s="36"/>
      <c r="AT20" s="34" t="s">
        <v>21</v>
      </c>
      <c r="AU20" s="35"/>
      <c r="AV20" s="36"/>
      <c r="AW20" s="34" t="s">
        <v>22</v>
      </c>
      <c r="AX20" s="35"/>
      <c r="AY20" s="36"/>
      <c r="AZ20" s="34" t="s">
        <v>23</v>
      </c>
      <c r="BA20" s="35"/>
      <c r="BB20" s="36"/>
      <c r="BC20" s="34" t="s">
        <v>24</v>
      </c>
      <c r="BD20" s="35"/>
      <c r="BE20" s="36"/>
      <c r="BF20" s="34" t="s">
        <v>25</v>
      </c>
      <c r="BG20" s="35"/>
      <c r="BH20" s="36"/>
      <c r="BI20" s="34" t="s">
        <v>26</v>
      </c>
      <c r="BJ20" s="35"/>
      <c r="BK20" s="36"/>
      <c r="BM20" s="41"/>
      <c r="BO20" s="45" t="str">
        <f>AM30</f>
        <v>Nadeem Rasheed</v>
      </c>
      <c r="BP20" s="51" t="e">
        <f>SUMIFS([1]!tblActvChurn[LINES],[1]!tblActvChurn[MONTH],DATE(YEAR($C$1),MONTH($C$1),1),[1]!tblActvChurn[KPI],$BP$9,[1]!tblActvChurn[VERTICAL],$BO$10,[1]!tblActvChurn[AM],$BO20,[1]!tblActvChurn[RATEPLAN_TYPE],$BP$10,[1]!tblActvChurn[PG_TYPE],BP$11)</f>
        <v>#REF!</v>
      </c>
      <c r="BQ20" s="51" t="e">
        <f>SUMIFS([1]!tblActvChurn[LINES],[1]!tblActvChurn[MONTH],DATE(YEAR($C$1),MONTH($C$1),1),[1]!tblActvChurn[KPI],$BP$9,[1]!tblActvChurn[VERTICAL],$BO$10,[1]!tblActvChurn[AM],$BO20,[1]!tblActvChurn[RATEPLAN_TYPE],$BP$10,[1]!tblActvChurn[PG_TYPE],BQ$11)</f>
        <v>#REF!</v>
      </c>
      <c r="BR20" s="51" t="e">
        <f t="shared" si="0"/>
        <v>#REF!</v>
      </c>
      <c r="BS20" s="51" t="e">
        <f>SUMIFS([1]!tblActvChurn[LINES],[1]!tblActvChurn[MONTH],DATE(YEAR($C$1),MONTH($C$1),1),[1]!tblActvChurn[KPI],$BP$9,[1]!tblActvChurn[VERTICAL],$BO$10,[1]!tblActvChurn[AM],$BO20,[1]!tblActvChurn[RATEPLAN_TYPE],$BS$10,[1]!tblActvChurn[PG_TYPE],BS$11)</f>
        <v>#REF!</v>
      </c>
      <c r="BT20" s="51" t="e">
        <f>SUMIFS([1]!tblActvChurn[LINES],[1]!tblActvChurn[MONTH],DATE(YEAR($C$1),MONTH($C$1),1),[1]!tblActvChurn[KPI],$BP$9,[1]!tblActvChurn[VERTICAL],$BO$10,[1]!tblActvChurn[AM],$BO20,[1]!tblActvChurn[RATEPLAN_TYPE],$BS$10,[1]!tblActvChurn[PG_TYPE],BT$11)</f>
        <v>#REF!</v>
      </c>
      <c r="BU20" s="51" t="e">
        <f t="shared" si="1"/>
        <v>#REF!</v>
      </c>
      <c r="BV20" s="51" t="e">
        <f>SUMIFS([1]!tblActvChurn[LINES],[1]!tblActvChurn[MONTH],DATE(YEAR($C$1),MONTH($C$1),1),[1]!tblActvChurn[KPI],$BP$9,[1]!tblActvChurn[VERTICAL],$BO$10,[1]!tblActvChurn[AM],$BO20,[1]!tblActvChurn[RATEPLAN_TYPE],$BV$10,[1]!tblActvChurn[PG_TYPE],BV$11)</f>
        <v>#REF!</v>
      </c>
      <c r="BW20" s="51" t="e">
        <f>SUMIFS([1]!tblActvChurn[LINES],[1]!tblActvChurn[MONTH],DATE(YEAR($C$1),MONTH($C$1),1),[1]!tblActvChurn[KPI],$BP$9,[1]!tblActvChurn[VERTICAL],$BO$10,[1]!tblActvChurn[AM],$BO20,[1]!tblActvChurn[RATEPLAN_TYPE],$BV$10,[1]!tblActvChurn[PG_TYPE],BW$11)</f>
        <v>#REF!</v>
      </c>
      <c r="BX20" s="51" t="e">
        <f t="shared" si="2"/>
        <v>#REF!</v>
      </c>
      <c r="BY20" s="51" t="e">
        <f t="shared" si="3"/>
        <v>#REF!</v>
      </c>
      <c r="BZ20" s="51" t="e">
        <f t="shared" si="4"/>
        <v>#REF!</v>
      </c>
      <c r="CA20" s="51" t="e">
        <f t="shared" si="5"/>
        <v>#REF!</v>
      </c>
      <c r="CF20" s="52"/>
    </row>
    <row r="21" spans="1:85" ht="14.4" thickBot="1">
      <c r="A21" s="130"/>
      <c r="B21" s="64">
        <f>[1]HUNT!$G$21</f>
        <v>46143</v>
      </c>
      <c r="C21" s="65">
        <f>[1]HUNT!$H$21</f>
        <v>46174</v>
      </c>
      <c r="D21" s="65" t="str">
        <f>[1]HUNT!$I$21</f>
        <v xml:space="preserve"> </v>
      </c>
      <c r="E21" s="66" t="str">
        <f>[1]HUNT!$J$21</f>
        <v>May-26 &amp; Jun-26</v>
      </c>
      <c r="F21" s="67" t="s">
        <v>8</v>
      </c>
      <c r="G21" s="68">
        <f>[1]HUNT!$G$21</f>
        <v>46143</v>
      </c>
      <c r="H21" s="65">
        <f>[1]HUNT!$H$21</f>
        <v>46174</v>
      </c>
      <c r="I21" s="65" t="str">
        <f>[1]HUNT!$I$21</f>
        <v xml:space="preserve"> </v>
      </c>
      <c r="J21" s="66" t="str">
        <f>[1]HUNT!$J$21</f>
        <v>May-26 &amp; Jun-26</v>
      </c>
      <c r="K21" s="67" t="s">
        <v>8</v>
      </c>
      <c r="L21" s="68">
        <f>G21</f>
        <v>46143</v>
      </c>
      <c r="M21" s="65">
        <f>H21</f>
        <v>46174</v>
      </c>
      <c r="N21" s="65" t="str">
        <f>I21</f>
        <v xml:space="preserve"> </v>
      </c>
      <c r="O21" s="66" t="str">
        <f>J21</f>
        <v>May-26 &amp; Jun-26</v>
      </c>
      <c r="P21" s="69" t="str">
        <f>K21</f>
        <v>QTD</v>
      </c>
      <c r="Q21" s="68">
        <f>G21</f>
        <v>46143</v>
      </c>
      <c r="R21" s="65">
        <f>H21</f>
        <v>46174</v>
      </c>
      <c r="S21" s="65" t="str">
        <f>I21</f>
        <v xml:space="preserve"> </v>
      </c>
      <c r="T21" s="66" t="str">
        <f>J21</f>
        <v>May-26 &amp; Jun-26</v>
      </c>
      <c r="U21" s="69" t="str">
        <f>P21</f>
        <v>QTD</v>
      </c>
      <c r="V21" s="64">
        <f>L21</f>
        <v>46143</v>
      </c>
      <c r="W21" s="65">
        <f>M21</f>
        <v>46174</v>
      </c>
      <c r="X21" s="65" t="str">
        <f>N21</f>
        <v xml:space="preserve"> </v>
      </c>
      <c r="Y21" s="66" t="str">
        <f>O21</f>
        <v>May-26 &amp; Jun-26</v>
      </c>
      <c r="Z21" s="69" t="str">
        <f>U21</f>
        <v>QTD</v>
      </c>
      <c r="AJ21" s="27"/>
      <c r="AM21" s="131"/>
      <c r="AN21" s="70">
        <f>$G$21</f>
        <v>46143</v>
      </c>
      <c r="AO21" s="64">
        <f>$H$21</f>
        <v>46174</v>
      </c>
      <c r="AP21" s="71" t="str">
        <f>$I$21</f>
        <v xml:space="preserve"> </v>
      </c>
      <c r="AQ21" s="70">
        <f>$G$21</f>
        <v>46143</v>
      </c>
      <c r="AR21" s="64">
        <f>$H$21</f>
        <v>46174</v>
      </c>
      <c r="AS21" s="71" t="str">
        <f>$I$21</f>
        <v xml:space="preserve"> </v>
      </c>
      <c r="AT21" s="70">
        <f>$G$21</f>
        <v>46143</v>
      </c>
      <c r="AU21" s="64">
        <f>$H$21</f>
        <v>46174</v>
      </c>
      <c r="AV21" s="71" t="str">
        <f>$I$21</f>
        <v xml:space="preserve"> </v>
      </c>
      <c r="AW21" s="70">
        <f>$G$21</f>
        <v>46143</v>
      </c>
      <c r="AX21" s="64">
        <f>$H$21</f>
        <v>46174</v>
      </c>
      <c r="AY21" s="71" t="str">
        <f>$I$21</f>
        <v xml:space="preserve"> </v>
      </c>
      <c r="AZ21" s="70">
        <f>$G$21</f>
        <v>46143</v>
      </c>
      <c r="BA21" s="64">
        <f>$H$21</f>
        <v>46174</v>
      </c>
      <c r="BB21" s="71" t="str">
        <f>$I$21</f>
        <v xml:space="preserve"> </v>
      </c>
      <c r="BC21" s="70">
        <f>$G$21</f>
        <v>46143</v>
      </c>
      <c r="BD21" s="64">
        <f>$H$21</f>
        <v>46174</v>
      </c>
      <c r="BE21" s="71" t="str">
        <f>$I$21</f>
        <v xml:space="preserve"> </v>
      </c>
      <c r="BF21" s="70">
        <f>$G$21</f>
        <v>46143</v>
      </c>
      <c r="BG21" s="64">
        <f>$H$21</f>
        <v>46174</v>
      </c>
      <c r="BH21" s="71" t="str">
        <f>$I$21</f>
        <v xml:space="preserve"> </v>
      </c>
      <c r="BI21" s="70">
        <f>$G$21</f>
        <v>46143</v>
      </c>
      <c r="BJ21" s="64">
        <f>$H$21</f>
        <v>46174</v>
      </c>
      <c r="BK21" s="71" t="str">
        <f>$I$21</f>
        <v xml:space="preserve"> </v>
      </c>
      <c r="BM21" s="41"/>
      <c r="BO21" s="45"/>
      <c r="BP21" s="51" t="e">
        <f>SUMIFS([1]!tblActvChurn[LINES],[1]!tblActvChurn[MONTH],DATE(YEAR($C$1),MONTH($C$1),1),[1]!tblActvChurn[KPI],$BP$9,[1]!tblActvChurn[VERTICAL],$BO$10,[1]!tblActvChurn[AM],$BO21,[1]!tblActvChurn[RATEPLAN_TYPE],$BP$10,[1]!tblActvChurn[PG_TYPE],BP$11)</f>
        <v>#REF!</v>
      </c>
      <c r="BQ21" s="51" t="e">
        <f>SUMIFS([1]!tblActvChurn[LINES],[1]!tblActvChurn[MONTH],DATE(YEAR($C$1),MONTH($C$1),1),[1]!tblActvChurn[KPI],$BP$9,[1]!tblActvChurn[VERTICAL],$BO$10,[1]!tblActvChurn[AM],$BO21,[1]!tblActvChurn[RATEPLAN_TYPE],$BP$10,[1]!tblActvChurn[PG_TYPE],BQ$11)</f>
        <v>#REF!</v>
      </c>
      <c r="BR21" s="51" t="e">
        <f t="shared" si="0"/>
        <v>#REF!</v>
      </c>
      <c r="BS21" s="51" t="e">
        <f>SUMIFS([1]!tblActvChurn[LINES],[1]!tblActvChurn[MONTH],DATE(YEAR($C$1),MONTH($C$1),1),[1]!tblActvChurn[KPI],$BP$9,[1]!tblActvChurn[VERTICAL],$BO$10,[1]!tblActvChurn[AM],$BO21,[1]!tblActvChurn[RATEPLAN_TYPE],$BS$10,[1]!tblActvChurn[PG_TYPE],BS$11)</f>
        <v>#REF!</v>
      </c>
      <c r="BT21" s="51" t="e">
        <f>SUMIFS([1]!tblActvChurn[LINES],[1]!tblActvChurn[MONTH],DATE(YEAR($C$1),MONTH($C$1),1),[1]!tblActvChurn[KPI],$BP$9,[1]!tblActvChurn[VERTICAL],$BO$10,[1]!tblActvChurn[AM],$BO21,[1]!tblActvChurn[RATEPLAN_TYPE],$BS$10,[1]!tblActvChurn[PG_TYPE],BT$11)</f>
        <v>#REF!</v>
      </c>
      <c r="BU21" s="51" t="e">
        <f t="shared" si="1"/>
        <v>#REF!</v>
      </c>
      <c r="BV21" s="51" t="e">
        <f>SUMIFS([1]!tblActvChurn[LINES],[1]!tblActvChurn[MONTH],DATE(YEAR($C$1),MONTH($C$1),1),[1]!tblActvChurn[KPI],$BP$9,[1]!tblActvChurn[VERTICAL],$BO$10,[1]!tblActvChurn[AM],$BO21,[1]!tblActvChurn[RATEPLAN_TYPE],$BV$10,[1]!tblActvChurn[PG_TYPE],BV$11)</f>
        <v>#REF!</v>
      </c>
      <c r="BW21" s="51" t="e">
        <f>SUMIFS([1]!tblActvChurn[LINES],[1]!tblActvChurn[MONTH],DATE(YEAR($C$1),MONTH($C$1),1),[1]!tblActvChurn[KPI],$BP$9,[1]!tblActvChurn[VERTICAL],$BO$10,[1]!tblActvChurn[AM],$BO21,[1]!tblActvChurn[RATEPLAN_TYPE],$BV$10,[1]!tblActvChurn[PG_TYPE],BW$11)</f>
        <v>#REF!</v>
      </c>
      <c r="BX21" s="51" t="e">
        <f t="shared" si="2"/>
        <v>#REF!</v>
      </c>
      <c r="BY21" s="51" t="e">
        <f t="shared" si="3"/>
        <v>#REF!</v>
      </c>
      <c r="BZ21" s="51" t="e">
        <f t="shared" si="4"/>
        <v>#REF!</v>
      </c>
      <c r="CA21" s="51" t="e">
        <f t="shared" si="5"/>
        <v>#REF!</v>
      </c>
      <c r="CF21" s="52"/>
    </row>
    <row r="22" spans="1:85" ht="14.4" thickTop="1">
      <c r="A22" s="72" t="s">
        <v>9</v>
      </c>
      <c r="B22" s="1">
        <f>AN22</f>
        <v>0</v>
      </c>
      <c r="C22" s="1">
        <f>AO22</f>
        <v>0</v>
      </c>
      <c r="D22" s="1"/>
      <c r="E22" s="2" t="e">
        <f>SUMIFS('[1]Staff Targets'!$G:$G,'[1]Staff Targets'!A:A,$E$21,'[1]Staff Targets'!$B:$B,$A22)</f>
        <v>#VALUE!</v>
      </c>
      <c r="F22" s="16">
        <f>IFERROR(MAX((SUM(B22:D22)/E22),0),0)</f>
        <v>0</v>
      </c>
      <c r="G22" s="1" t="e">
        <f>AN22+AQ22+AT22</f>
        <v>#VALUE!</v>
      </c>
      <c r="H22" s="1" t="e">
        <f>AO22+AR22+AU22</f>
        <v>#VALUE!</v>
      </c>
      <c r="I22" s="1"/>
      <c r="J22" s="2" t="e">
        <f>SUMIFS('[1]Staff Targets'!$H:$H,'[1]Staff Targets'!A:A,$J$21,'[1]Staff Targets'!$B:$B,$A22)</f>
        <v>#VALUE!</v>
      </c>
      <c r="K22" s="16">
        <f>IFERROR(MAX((SUM(G22:I22)/J22),0),0)</f>
        <v>0</v>
      </c>
      <c r="L22" s="1" t="e">
        <f>SUM(L23:L30)</f>
        <v>#REF!</v>
      </c>
      <c r="M22" s="1" t="e">
        <f>SUM(M23:M30)</f>
        <v>#REF!</v>
      </c>
      <c r="N22" s="1"/>
      <c r="O22" s="2" t="e">
        <f>SUMIFS('[1]Staff Targets'!$I:$I,'[1]Staff Targets'!A:A,$J$21,'[1]Staff Targets'!$B:$B,$A22)</f>
        <v>#VALUE!</v>
      </c>
      <c r="P22" s="3">
        <f>IFERROR(MAX((SUM(L22:N22)/O22),0),0)</f>
        <v>0</v>
      </c>
      <c r="Q22" s="17" t="e">
        <f>SUM(Q23:Q30)</f>
        <v>#REF!</v>
      </c>
      <c r="R22" s="2" t="e">
        <f>SUM(R23:R30)</f>
        <v>#REF!</v>
      </c>
      <c r="S22" s="2"/>
      <c r="T22" s="2" t="e">
        <f>SUMIFS('[1]Staff Targets'!$J:$J,'[1]Staff Targets'!A:A,$J$21,'[1]Staff Targets'!$B:$B,$A22)</f>
        <v>#VALUE!</v>
      </c>
      <c r="U22" s="3">
        <f>IFERROR(MAX((SUM(Q22:S22)/T22),0),0)</f>
        <v>0</v>
      </c>
      <c r="V22" s="1" t="e">
        <f>SUM(V23:V30)</f>
        <v>#REF!</v>
      </c>
      <c r="W22" s="1" t="e">
        <f>SUM(W23:W30)</f>
        <v>#REF!</v>
      </c>
      <c r="X22" s="1"/>
      <c r="Y22" s="2" t="e">
        <f>SUMIFS('[1]Staff Targets'!$K:$K,'[1]Staff Targets'!A:A,$J$21,'[1]Staff Targets'!$B:$B,$A22)</f>
        <v>#VALUE!</v>
      </c>
      <c r="Z22" s="4">
        <f>IFERROR(MAX((SUM(V22:X22)/Y22),0),0)</f>
        <v>0</v>
      </c>
      <c r="AB22" s="73"/>
      <c r="AC22" s="74"/>
      <c r="AD22" s="52"/>
      <c r="AE22" s="74"/>
      <c r="AG22" s="73">
        <f>VLOOKUP(A22,[2]Disciplinary!B$31:AG$40,32,0)</f>
        <v>0</v>
      </c>
      <c r="AJ22" s="27"/>
      <c r="AM22" s="75" t="str">
        <f t="shared" ref="AM22:AM30" si="6">A22</f>
        <v>Mazen Adem</v>
      </c>
      <c r="AN22" s="76">
        <f>SUM(AN23:AN30)</f>
        <v>0</v>
      </c>
      <c r="AO22" s="77">
        <f t="shared" ref="AO22:BK22" si="7">SUM(AO23:AO30)</f>
        <v>0</v>
      </c>
      <c r="AP22" s="78">
        <f t="shared" si="7"/>
        <v>0</v>
      </c>
      <c r="AQ22" s="76" t="e">
        <f t="shared" si="7"/>
        <v>#VALUE!</v>
      </c>
      <c r="AR22" s="77" t="e">
        <f t="shared" si="7"/>
        <v>#VALUE!</v>
      </c>
      <c r="AS22" s="78" t="e">
        <f t="shared" si="7"/>
        <v>#VALUE!</v>
      </c>
      <c r="AT22" s="76">
        <f t="shared" si="7"/>
        <v>0</v>
      </c>
      <c r="AU22" s="77">
        <f t="shared" si="7"/>
        <v>0</v>
      </c>
      <c r="AV22" s="78">
        <f t="shared" si="7"/>
        <v>0</v>
      </c>
      <c r="AW22" s="76" t="e">
        <f t="shared" si="7"/>
        <v>#REF!</v>
      </c>
      <c r="AX22" s="77" t="e">
        <f t="shared" si="7"/>
        <v>#REF!</v>
      </c>
      <c r="AY22" s="78" t="e">
        <f t="shared" si="7"/>
        <v>#REF!</v>
      </c>
      <c r="AZ22" s="76" t="e">
        <f t="shared" si="7"/>
        <v>#REF!</v>
      </c>
      <c r="BA22" s="77" t="e">
        <f t="shared" si="7"/>
        <v>#REF!</v>
      </c>
      <c r="BB22" s="78" t="e">
        <f t="shared" si="7"/>
        <v>#REF!</v>
      </c>
      <c r="BC22" s="76" t="e">
        <f t="shared" si="7"/>
        <v>#REF!</v>
      </c>
      <c r="BD22" s="77" t="e">
        <f t="shared" si="7"/>
        <v>#REF!</v>
      </c>
      <c r="BE22" s="78" t="e">
        <f t="shared" si="7"/>
        <v>#REF!</v>
      </c>
      <c r="BF22" s="76">
        <f t="shared" si="7"/>
        <v>0</v>
      </c>
      <c r="BG22" s="77">
        <f t="shared" si="7"/>
        <v>0</v>
      </c>
      <c r="BH22" s="78">
        <f t="shared" si="7"/>
        <v>0</v>
      </c>
      <c r="BI22" s="76">
        <f t="shared" si="7"/>
        <v>0</v>
      </c>
      <c r="BJ22" s="77">
        <f t="shared" si="7"/>
        <v>0</v>
      </c>
      <c r="BK22" s="78">
        <f t="shared" si="7"/>
        <v>0</v>
      </c>
      <c r="BM22" s="41"/>
      <c r="BO22" s="45"/>
      <c r="BP22" s="51" t="e">
        <f>SUMIFS([1]!tblActvChurn[LINES],[1]!tblActvChurn[MONTH],DATE(YEAR($C$1),MONTH($C$1),1),[1]!tblActvChurn[KPI],$BP$9,[1]!tblActvChurn[VERTICAL],$BO$10,[1]!tblActvChurn[AM],$BO22,[1]!tblActvChurn[RATEPLAN_TYPE],$BP$10,[1]!tblActvChurn[PG_TYPE],BP$11)</f>
        <v>#REF!</v>
      </c>
      <c r="BQ22" s="51" t="e">
        <f>SUMIFS([1]!tblActvChurn[LINES],[1]!tblActvChurn[MONTH],DATE(YEAR($C$1),MONTH($C$1),1),[1]!tblActvChurn[KPI],$BP$9,[1]!tblActvChurn[VERTICAL],$BO$10,[1]!tblActvChurn[AM],$BO22,[1]!tblActvChurn[RATEPLAN_TYPE],$BP$10,[1]!tblActvChurn[PG_TYPE],BQ$11)</f>
        <v>#REF!</v>
      </c>
      <c r="BR22" s="51" t="e">
        <f t="shared" si="0"/>
        <v>#REF!</v>
      </c>
      <c r="BS22" s="51" t="e">
        <f>SUMIFS([1]!tblActvChurn[LINES],[1]!tblActvChurn[MONTH],DATE(YEAR($C$1),MONTH($C$1),1),[1]!tblActvChurn[KPI],$BP$9,[1]!tblActvChurn[VERTICAL],$BO$10,[1]!tblActvChurn[AM],$BO22,[1]!tblActvChurn[RATEPLAN_TYPE],$BS$10,[1]!tblActvChurn[PG_TYPE],BS$11)</f>
        <v>#REF!</v>
      </c>
      <c r="BT22" s="51" t="e">
        <f>SUMIFS([1]!tblActvChurn[LINES],[1]!tblActvChurn[MONTH],DATE(YEAR($C$1),MONTH($C$1),1),[1]!tblActvChurn[KPI],$BP$9,[1]!tblActvChurn[VERTICAL],$BO$10,[1]!tblActvChurn[AM],$BO22,[1]!tblActvChurn[RATEPLAN_TYPE],$BS$10,[1]!tblActvChurn[PG_TYPE],BT$11)</f>
        <v>#REF!</v>
      </c>
      <c r="BU22" s="51" t="e">
        <f t="shared" si="1"/>
        <v>#REF!</v>
      </c>
      <c r="BV22" s="51" t="e">
        <f>SUMIFS([1]!tblActvChurn[LINES],[1]!tblActvChurn[MONTH],DATE(YEAR($C$1),MONTH($C$1),1),[1]!tblActvChurn[KPI],$BP$9,[1]!tblActvChurn[VERTICAL],$BO$10,[1]!tblActvChurn[AM],$BO22,[1]!tblActvChurn[RATEPLAN_TYPE],$BV$10,[1]!tblActvChurn[PG_TYPE],BV$11)</f>
        <v>#REF!</v>
      </c>
      <c r="BW22" s="51" t="e">
        <f>SUMIFS([1]!tblActvChurn[LINES],[1]!tblActvChurn[MONTH],DATE(YEAR($C$1),MONTH($C$1),1),[1]!tblActvChurn[KPI],$BP$9,[1]!tblActvChurn[VERTICAL],$BO$10,[1]!tblActvChurn[AM],$BO22,[1]!tblActvChurn[RATEPLAN_TYPE],$BV$10,[1]!tblActvChurn[PG_TYPE],BW$11)</f>
        <v>#REF!</v>
      </c>
      <c r="BX22" s="51" t="e">
        <f t="shared" si="2"/>
        <v>#REF!</v>
      </c>
      <c r="BY22" s="51" t="e">
        <f t="shared" si="3"/>
        <v>#REF!</v>
      </c>
      <c r="BZ22" s="51" t="e">
        <f t="shared" si="4"/>
        <v>#REF!</v>
      </c>
      <c r="CA22" s="51" t="e">
        <f t="shared" si="5"/>
        <v>#REF!</v>
      </c>
      <c r="CF22" s="52"/>
      <c r="CG22" s="40"/>
    </row>
    <row r="23" spans="1:85">
      <c r="A23" s="79" t="s">
        <v>10</v>
      </c>
      <c r="B23" s="5" t="str">
        <f t="shared" ref="B23:C30" si="8">AN23</f>
        <v/>
      </c>
      <c r="C23" s="5" t="str">
        <f t="shared" si="8"/>
        <v/>
      </c>
      <c r="D23" s="5"/>
      <c r="E23" s="6" t="e">
        <f>SUMIFS('[1]Staff Targets'!$G:$G,'[1]Staff Targets'!A:A,$E$21,'[1]Staff Targets'!$B:$B,$A23)</f>
        <v>#VALUE!</v>
      </c>
      <c r="F23" s="3">
        <f t="shared" ref="F23:F30" si="9">IFERROR(MAX((SUM(B23:D23)/E23),0),0)</f>
        <v>0</v>
      </c>
      <c r="G23" s="7" t="e">
        <f t="shared" ref="G23:H30" si="10">AN23+AQ23+AT23</f>
        <v>#VALUE!</v>
      </c>
      <c r="H23" s="5" t="e">
        <f t="shared" si="10"/>
        <v>#VALUE!</v>
      </c>
      <c r="I23" s="5"/>
      <c r="J23" s="6" t="e">
        <f>SUMIFS('[1]Staff Targets'!$H:$H,'[1]Staff Targets'!A:A,$J$21,'[1]Staff Targets'!$B:$B,$A23)</f>
        <v>#VALUE!</v>
      </c>
      <c r="K23" s="3">
        <f t="shared" ref="K23:K30" si="11">IFERROR(MAX((SUM(G23:I23)/J23),0),0)</f>
        <v>0</v>
      </c>
      <c r="L23" s="7" t="e">
        <f>AW23+AZ23+BC23</f>
        <v>#REF!</v>
      </c>
      <c r="M23" s="5" t="e">
        <f>AX23+BA23+BD23</f>
        <v>#REF!</v>
      </c>
      <c r="N23" s="6"/>
      <c r="O23" s="6" t="e">
        <f>SUMIFS('[1]Staff Targets'!$I:$I,'[1]Staff Targets'!A:A,$J$21,'[1]Staff Targets'!$B:$B,$A23)</f>
        <v>#VALUE!</v>
      </c>
      <c r="P23" s="4">
        <f>IFERROR(MAX((SUM(L23:N23)/O23),0),0)</f>
        <v>0</v>
      </c>
      <c r="Q23" s="8" t="e">
        <f>SUMIFS([1]!REV[Rev],[1]!REV[MONTH],$Q$21,[1]!REV[AM_NAME],$A23)</f>
        <v>#REF!</v>
      </c>
      <c r="R23" s="6" t="e">
        <f>SUMIFS([1]!REV[Rev],[1]!REV[MONTH],$R$21,[1]!REV[AM_NAME],$A23)</f>
        <v>#REF!</v>
      </c>
      <c r="S23" s="6"/>
      <c r="T23" s="6" t="e">
        <f>SUMIFS('[1]Staff Targets'!$J:$J,'[1]Staff Targets'!A:A,$J$21,'[1]Staff Targets'!$B:$B,$A23)</f>
        <v>#VALUE!</v>
      </c>
      <c r="U23" s="4">
        <f>IFERROR(MAX((SUM(Q23:S23)/T23),0),0)</f>
        <v>0</v>
      </c>
      <c r="V23" s="5" t="e">
        <f>SUMIFS([1]!tbl_DDOS[MRC],[1]!tbl_DDOS[month2],V$21,[1]!tbl_DDOS[AM],$A23)</f>
        <v>#REF!</v>
      </c>
      <c r="W23" s="5" t="e">
        <f>SUMIFS([1]!tbl_DDOS[MRC],[1]!tbl_DDOS[month2],W$21,[1]!tbl_DDOS[AM],$A23)</f>
        <v>#REF!</v>
      </c>
      <c r="X23" s="6"/>
      <c r="Y23" s="6" t="e">
        <f>SUMIFS('[1]Staff Targets'!$K:$K,'[1]Staff Targets'!A:A,$J$21,'[1]Staff Targets'!$B:$B,$A23)</f>
        <v>#VALUE!</v>
      </c>
      <c r="Z23" s="4">
        <f>IFERROR(MAX((SUM(V23:X23)/Y23),0),0)</f>
        <v>0</v>
      </c>
      <c r="AB23" s="73"/>
      <c r="AC23" s="74"/>
      <c r="AD23" s="52"/>
      <c r="AE23" s="74"/>
      <c r="AG23" s="73">
        <f>VLOOKUP(A23,[2]Disciplinary!B$31:AG$40,32,0)</f>
        <v>0</v>
      </c>
      <c r="AJ23" s="27"/>
      <c r="AM23" s="75" t="str">
        <f t="shared" si="6"/>
        <v>Abdel Azim Sharabati</v>
      </c>
      <c r="AN23" s="80" t="str">
        <f>IFERROR(SUMIFS([1]!tblActvChurn[POINTS],[1]!tblActvChurn[MONTH],DATE(YEAR(AN$21),MONTH(AN$21),1),[1]!tblActvChurn[AM],$AM23,[1]!tblActvChurn[KPI],$AN$20),"")</f>
        <v/>
      </c>
      <c r="AO23" s="51" t="str">
        <f>IFERROR(SUMIFS([1]!tblActvChurn[POINTS],[1]!tblActvChurn[MONTH],DATE(YEAR(AO$21),MONTH(AO$21),1),[1]!tblActvChurn[AM],$AM23,[1]!tblActvChurn[KPI],$AN$20),"")</f>
        <v/>
      </c>
      <c r="AP23" s="81" t="str">
        <f>IFERROR(SUMIFS([1]!tblActvChurn[POINTS],[1]!tblActvChurn[MONTH],DATE(YEAR(AP$21),MONTH(AP$21),1),[1]!tblActvChurn[AM],$AM23,[1]!tblActvChurn[KPI],$AN$20),"")</f>
        <v/>
      </c>
      <c r="AQ23" s="80" t="e">
        <f>-IFERROR(SUMIFS([1]!tblActvChurn[POINTS],[1]!tblActvChurn[MONTH],DATE(YEAR(AQ$21),MONTH(AQ$21),1),[1]!tblActvChurn[AM],$AM23,[1]!tblActvChurn[KPI],$AQ$20),"")</f>
        <v>#VALUE!</v>
      </c>
      <c r="AR23" s="51" t="e">
        <f>-IFERROR(SUMIFS([1]!tblActvChurn[POINTS],[1]!tblActvChurn[MONTH],DATE(YEAR(AR$21),MONTH(AR$21),1),[1]!tblActvChurn[AM],$AM23,[1]!tblActvChurn[KPI],$AQ$20),"")</f>
        <v>#VALUE!</v>
      </c>
      <c r="AS23" s="81" t="e">
        <f>-IFERROR(SUMIFS([1]!tblActvChurn[POINTS],[1]!tblActvChurn[MONTH],DATE(YEAR(AS$21),MONTH(AS$21),1),[1]!tblActvChurn[AM],$AM23,[1]!tblActvChurn[KPI],$AQ$20),"")</f>
        <v>#VALUE!</v>
      </c>
      <c r="AT23" s="80" t="str">
        <f>IFERROR(SUMIFS([1]!tblActvChurn[POINTS],[1]!tblActvChurn[MONTH],DATE(YEAR(AT$21),MONTH(AT$21),1),[1]!tblActvChurn[AM],$AM23,[1]!tblActvChurn[KPI],$AT$20),"")</f>
        <v/>
      </c>
      <c r="AU23" s="51" t="str">
        <f>IFERROR(SUMIFS([1]!tblActvChurn[POINTS],[1]!tblActvChurn[MONTH],DATE(YEAR(AU$21),MONTH(AU$21),1),[1]!tblActvChurn[AM],$AM23,[1]!tblActvChurn[KPI],$AT$20),"")</f>
        <v/>
      </c>
      <c r="AV23" s="81" t="str">
        <f>IFERROR(SUMIFS([1]!tblActvChurn[POINTS],[1]!tblActvChurn[MONTH],DATE(YEAR(AV$21),MONTH(AV$21),1),[1]!tblActvChurn[AM],$AM23,[1]!tblActvChurn[KPI],$AT$20),"")</f>
        <v/>
      </c>
      <c r="AW23" s="80" t="e">
        <f>SUMIFS([1]!tblFixedNetMRC[NET_MRC],[1]!tblFixedNetMRC[MONTH],AW$21,[1]!tblFixedNetMRC[KPI],$AW$20,[1]!tblFixedNetMRC[ACCOUNT_MANAGER],$AM23)</f>
        <v>#REF!</v>
      </c>
      <c r="AX23" s="51" t="e">
        <f>SUMIFS([1]!tblFixedNetMRC[NET_MRC],[1]!tblFixedNetMRC[MONTH],AX$21,[1]!tblFixedNetMRC[KPI],$AW$20,[1]!tblFixedNetMRC[ACCOUNT_MANAGER],$AM23)</f>
        <v>#REF!</v>
      </c>
      <c r="AY23" s="81" t="e">
        <f>SUMIFS([1]!tblFixedNetMRC[NET_MRC],[1]!tblFixedNetMRC[MONTH],AY$21,[1]!tblFixedNetMRC[KPI],$AW$20,[1]!tblFixedNetMRC[ACCOUNT_MANAGER],$AM23)</f>
        <v>#REF!</v>
      </c>
      <c r="AZ23" s="80" t="e">
        <f>SUMIFS([1]!tblFixedNetMRC[NET_MRC],[1]!tblFixedNetMRC[MONTH],AZ$21,[1]!tblFixedNetMRC[KPI],$AZ$20,[1]!tblFixedNetMRC[ACCOUNT_MANAGER],$AM23)</f>
        <v>#REF!</v>
      </c>
      <c r="BA23" s="51" t="e">
        <f>SUMIFS([1]!tblFixedNetMRC[NET_MRC],[1]!tblFixedNetMRC[MONTH],BA$21,[1]!tblFixedNetMRC[KPI],$AZ$20,[1]!tblFixedNetMRC[ACCOUNT_MANAGER],$AM23)</f>
        <v>#REF!</v>
      </c>
      <c r="BB23" s="81" t="e">
        <f>SUMIFS([1]!tblFixedNetMRC[NET_MRC],[1]!tblFixedNetMRC[MONTH],BB$21,[1]!tblFixedNetMRC[KPI],$AZ$20,[1]!tblFixedNetMRC[ACCOUNT_MANAGER],$AM23)</f>
        <v>#REF!</v>
      </c>
      <c r="BC23" s="80" t="e">
        <f>SUMIFS([1]!tblFixedNetMRC[NET_MRC],[1]!tblFixedNetMRC[MONTH],BC$21,[1]!tblFixedNetMRC[KPI],$BC$20,[1]!tblFixedNetMRC[ACCOUNT_MANAGER],$AM23)</f>
        <v>#REF!</v>
      </c>
      <c r="BD23" s="51" t="e">
        <f>SUMIFS([1]!tblFixedNetMRC[NET_MRC],[1]!tblFixedNetMRC[MONTH],BD$21,[1]!tblFixedNetMRC[KPI],$BC$20,[1]!tblFixedNetMRC[ACCOUNT_MANAGER],$AM23)</f>
        <v>#REF!</v>
      </c>
      <c r="BE23" s="81" t="e">
        <f>SUMIFS([1]!tblFixedNetMRC[NET_MRC],[1]!tblFixedNetMRC[MONTH],BE$21,[1]!tblFixedNetMRC[KPI],$BC$20,[1]!tblFixedNetMRC[ACCOUNT_MANAGER],$AM23)</f>
        <v>#REF!</v>
      </c>
      <c r="BF23" s="80" t="str">
        <f>IFERROR(SUMIFS([1]!tblActvChurn[POINTS],[1]!tblActvChurn[MONTH],DATE(YEAR(BF$21),MONTH(BF$21),1),[1]!tblActvChurn[AM],$AM23,[1]!tblActvChurn[KPI],$BF$20),"")</f>
        <v/>
      </c>
      <c r="BG23" s="51" t="str">
        <f>IFERROR(SUMIFS([1]!tblActvChurn[POINTS],[1]!tblActvChurn[MONTH],DATE(YEAR(BG$21),MONTH(BG$21),1),[1]!tblActvChurn[AM],$AM23,[1]!tblActvChurn[KPI],$BF$20),"")</f>
        <v/>
      </c>
      <c r="BH23" s="81" t="str">
        <f>IFERROR(SUMIFS([1]!tblActvChurn[POINTS],[1]!tblActvChurn[MONTH],DATE(YEAR(BH$21),MONTH(BH$21),1),[1]!tblActvChurn[AM],$AM23,[1]!tblActvChurn[KPI],$BF$20),"")</f>
        <v/>
      </c>
      <c r="BI23" s="80" t="str">
        <f>IFERROR(SUMIFS([1]!tblActvChurn[POINTS],[1]!tblActvChurn[MONTH],DATE(YEAR(BI$21),MONTH(BI$21),1),[1]!tblActvChurn[AM],$AM23,[1]!tblActvChurn[KPI],$BI$20),"")</f>
        <v/>
      </c>
      <c r="BJ23" s="51" t="str">
        <f>IFERROR(SUMIFS([1]!tblActvChurn[POINTS],[1]!tblActvChurn[MONTH],DATE(YEAR(BJ$21),MONTH(BJ$21),1),[1]!tblActvChurn[AM],$AM23,[1]!tblActvChurn[KPI],$BI$20),"")</f>
        <v/>
      </c>
      <c r="BK23" s="81" t="str">
        <f>IFERROR(SUMIFS([1]!tblActvChurn[POINTS],[1]!tblActvChurn[MONTH],DATE(YEAR(BK$21),MONTH(BK$21),1),[1]!tblActvChurn[AM],$AM23,[1]!tblActvChurn[KPI],$BI$20),"")</f>
        <v/>
      </c>
      <c r="BM23" s="41"/>
      <c r="BO23" s="82" t="s">
        <v>37</v>
      </c>
      <c r="BP23" s="83" t="e">
        <f t="shared" ref="BP23:CA23" si="12">SUM(BP12:BP22)</f>
        <v>#REF!</v>
      </c>
      <c r="BQ23" s="83" t="e">
        <f t="shared" si="12"/>
        <v>#REF!</v>
      </c>
      <c r="BR23" s="83" t="e">
        <f t="shared" si="12"/>
        <v>#REF!</v>
      </c>
      <c r="BS23" s="83" t="e">
        <f t="shared" si="12"/>
        <v>#REF!</v>
      </c>
      <c r="BT23" s="83" t="e">
        <f t="shared" si="12"/>
        <v>#REF!</v>
      </c>
      <c r="BU23" s="83" t="e">
        <f t="shared" si="12"/>
        <v>#REF!</v>
      </c>
      <c r="BV23" s="83" t="e">
        <f t="shared" si="12"/>
        <v>#REF!</v>
      </c>
      <c r="BW23" s="83" t="e">
        <f t="shared" si="12"/>
        <v>#REF!</v>
      </c>
      <c r="BX23" s="83" t="e">
        <f t="shared" si="12"/>
        <v>#REF!</v>
      </c>
      <c r="BY23" s="83" t="e">
        <f t="shared" si="12"/>
        <v>#REF!</v>
      </c>
      <c r="BZ23" s="83" t="e">
        <f t="shared" si="12"/>
        <v>#REF!</v>
      </c>
      <c r="CA23" s="83" t="e">
        <f t="shared" si="12"/>
        <v>#REF!</v>
      </c>
      <c r="CF23" s="52"/>
      <c r="CG23" s="40"/>
    </row>
    <row r="24" spans="1:85">
      <c r="A24" s="79" t="s">
        <v>11</v>
      </c>
      <c r="B24" s="5" t="str">
        <f t="shared" si="8"/>
        <v/>
      </c>
      <c r="C24" s="5" t="str">
        <f t="shared" si="8"/>
        <v/>
      </c>
      <c r="D24" s="5"/>
      <c r="E24" s="6" t="e">
        <f>SUMIFS('[1]Staff Targets'!$G:$G,'[1]Staff Targets'!A:A,$E$21,'[1]Staff Targets'!$B:$B,$A24)</f>
        <v>#VALUE!</v>
      </c>
      <c r="F24" s="9">
        <f t="shared" si="9"/>
        <v>0</v>
      </c>
      <c r="G24" s="7" t="e">
        <f t="shared" si="10"/>
        <v>#VALUE!</v>
      </c>
      <c r="H24" s="5" t="e">
        <f t="shared" si="10"/>
        <v>#VALUE!</v>
      </c>
      <c r="I24" s="5"/>
      <c r="J24" s="6" t="e">
        <f>SUMIFS('[1]Staff Targets'!$H:$H,'[1]Staff Targets'!A:A,$J$21,'[1]Staff Targets'!$B:$B,$A24)</f>
        <v>#VALUE!</v>
      </c>
      <c r="K24" s="9">
        <f t="shared" si="11"/>
        <v>0</v>
      </c>
      <c r="L24" s="7" t="e">
        <f t="shared" ref="L24:M30" si="13">AW24+AZ24+BC24</f>
        <v>#REF!</v>
      </c>
      <c r="M24" s="5" t="e">
        <f t="shared" si="13"/>
        <v>#REF!</v>
      </c>
      <c r="N24" s="6"/>
      <c r="O24" s="6" t="e">
        <f>SUMIFS('[1]Staff Targets'!$I:$I,'[1]Staff Targets'!A:A,$J$21,'[1]Staff Targets'!$B:$B,$A24)</f>
        <v>#VALUE!</v>
      </c>
      <c r="P24" s="4">
        <f t="shared" ref="P24:P30" si="14">IFERROR(MAX((SUM(L24:N24)/O24),0),0)</f>
        <v>0</v>
      </c>
      <c r="Q24" s="8" t="e">
        <f>SUMIFS([1]!REV[Rev],[1]!REV[MONTH],$Q$21,[1]!REV[AM_NAME],$A24)</f>
        <v>#REF!</v>
      </c>
      <c r="R24" s="6" t="e">
        <f>SUMIFS([1]!REV[Rev],[1]!REV[MONTH],$R$21,[1]!REV[AM_NAME],$A24)</f>
        <v>#REF!</v>
      </c>
      <c r="S24" s="6"/>
      <c r="T24" s="6" t="e">
        <f>SUMIFS('[1]Staff Targets'!$J:$J,'[1]Staff Targets'!A:A,$J$21,'[1]Staff Targets'!$B:$B,$A24)</f>
        <v>#VALUE!</v>
      </c>
      <c r="U24" s="4">
        <f t="shared" ref="U24:U30" si="15">IFERROR(MAX((SUM(Q24:S24)/T24),0),0)</f>
        <v>0</v>
      </c>
      <c r="V24" s="5" t="e">
        <f>SUMIFS([1]!tbl_DDOS[MRC],[1]!tbl_DDOS[month2],V$21,[1]!tbl_DDOS[AM],$A24)</f>
        <v>#REF!</v>
      </c>
      <c r="W24" s="5" t="e">
        <f>SUMIFS([1]!tbl_DDOS[MRC],[1]!tbl_DDOS[month2],W$21,[1]!tbl_DDOS[AM],$A24)</f>
        <v>#REF!</v>
      </c>
      <c r="X24" s="6"/>
      <c r="Y24" s="6" t="e">
        <f>SUMIFS('[1]Staff Targets'!$K:$K,'[1]Staff Targets'!A:A,$J$21,'[1]Staff Targets'!$B:$B,$A24)</f>
        <v>#VALUE!</v>
      </c>
      <c r="Z24" s="4">
        <f t="shared" ref="Z24:Z30" si="16">IFERROR(MAX((SUM(V24:X24)/Y24),0),0)</f>
        <v>0</v>
      </c>
      <c r="AB24" s="73"/>
      <c r="AC24" s="74"/>
      <c r="AD24" s="52"/>
      <c r="AE24" s="74"/>
      <c r="AG24" s="73">
        <f>VLOOKUP(A24,[2]Disciplinary!B$31:AG$40,32,0)</f>
        <v>1.2447900125937688</v>
      </c>
      <c r="AH24" s="74">
        <f>AG24-AB24</f>
        <v>1.2447900125937688</v>
      </c>
      <c r="AJ24" s="27"/>
      <c r="AM24" s="75" t="str">
        <f t="shared" si="6"/>
        <v>Abraham Cherian</v>
      </c>
      <c r="AN24" s="80" t="str">
        <f>IFERROR(SUMIFS([1]!tblActvChurn[POINTS],[1]!tblActvChurn[MONTH],DATE(YEAR(AN$21),MONTH(AN$21),1),[1]!tblActvChurn[AM],$AM24,[1]!tblActvChurn[KPI],$AN$20),"")</f>
        <v/>
      </c>
      <c r="AO24" s="51" t="str">
        <f>IFERROR(SUMIFS([1]!tblActvChurn[POINTS],[1]!tblActvChurn[MONTH],DATE(YEAR(AO$21),MONTH(AO$21),1),[1]!tblActvChurn[AM],$AM24,[1]!tblActvChurn[KPI],$AN$20),"")</f>
        <v/>
      </c>
      <c r="AP24" s="81" t="str">
        <f>IFERROR(SUMIFS([1]!tblActvChurn[POINTS],[1]!tblActvChurn[MONTH],DATE(YEAR(AP$21),MONTH(AP$21),1),[1]!tblActvChurn[AM],$AM24,[1]!tblActvChurn[KPI],$AN$20),"")</f>
        <v/>
      </c>
      <c r="AQ24" s="80" t="e">
        <f>-IFERROR(SUMIFS([1]!tblActvChurn[POINTS],[1]!tblActvChurn[MONTH],DATE(YEAR(AQ$21),MONTH(AQ$21),1),[1]!tblActvChurn[AM],$AM24,[1]!tblActvChurn[KPI],$AQ$20),"")</f>
        <v>#VALUE!</v>
      </c>
      <c r="AR24" s="51" t="e">
        <f>-IFERROR(SUMIFS([1]!tblActvChurn[POINTS],[1]!tblActvChurn[MONTH],DATE(YEAR(AR$21),MONTH(AR$21),1),[1]!tblActvChurn[AM],$AM24,[1]!tblActvChurn[KPI],$AQ$20),"")</f>
        <v>#VALUE!</v>
      </c>
      <c r="AS24" s="81" t="e">
        <f>-IFERROR(SUMIFS([1]!tblActvChurn[POINTS],[1]!tblActvChurn[MONTH],DATE(YEAR(AS$21),MONTH(AS$21),1),[1]!tblActvChurn[AM],$AM24,[1]!tblActvChurn[KPI],$AQ$20),"")</f>
        <v>#VALUE!</v>
      </c>
      <c r="AT24" s="80" t="str">
        <f>IFERROR(SUMIFS([1]!tblActvChurn[POINTS],[1]!tblActvChurn[MONTH],DATE(YEAR(AT$21),MONTH(AT$21),1),[1]!tblActvChurn[AM],$AM24,[1]!tblActvChurn[KPI],$AT$20),"")</f>
        <v/>
      </c>
      <c r="AU24" s="51" t="str">
        <f>IFERROR(SUMIFS([1]!tblActvChurn[POINTS],[1]!tblActvChurn[MONTH],DATE(YEAR(AU$21),MONTH(AU$21),1),[1]!tblActvChurn[AM],$AM24,[1]!tblActvChurn[KPI],$AT$20),"")</f>
        <v/>
      </c>
      <c r="AV24" s="81" t="str">
        <f>IFERROR(SUMIFS([1]!tblActvChurn[POINTS],[1]!tblActvChurn[MONTH],DATE(YEAR(AV$21),MONTH(AV$21),1),[1]!tblActvChurn[AM],$AM24,[1]!tblActvChurn[KPI],$AT$20),"")</f>
        <v/>
      </c>
      <c r="AW24" s="80" t="e">
        <f>SUMIFS([1]!tblFixedNetMRC[NET_MRC],[1]!tblFixedNetMRC[MONTH],AW$21,[1]!tblFixedNetMRC[KPI],$AW$20,[1]!tblFixedNetMRC[ACCOUNT_MANAGER],$AM24)</f>
        <v>#REF!</v>
      </c>
      <c r="AX24" s="51" t="e">
        <f>SUMIFS([1]!tblFixedNetMRC[NET_MRC],[1]!tblFixedNetMRC[MONTH],AX$21,[1]!tblFixedNetMRC[KPI],$AW$20,[1]!tblFixedNetMRC[ACCOUNT_MANAGER],$AM24)</f>
        <v>#REF!</v>
      </c>
      <c r="AY24" s="81" t="e">
        <f>SUMIFS([1]!tblFixedNetMRC[NET_MRC],[1]!tblFixedNetMRC[MONTH],AY$21,[1]!tblFixedNetMRC[KPI],$AW$20,[1]!tblFixedNetMRC[ACCOUNT_MANAGER],$AM24)</f>
        <v>#REF!</v>
      </c>
      <c r="AZ24" s="80" t="e">
        <f>SUMIFS([1]!tblFixedNetMRC[NET_MRC],[1]!tblFixedNetMRC[MONTH],AZ$21,[1]!tblFixedNetMRC[KPI],$AZ$20,[1]!tblFixedNetMRC[ACCOUNT_MANAGER],$AM24)</f>
        <v>#REF!</v>
      </c>
      <c r="BA24" s="51" t="e">
        <f>SUMIFS([1]!tblFixedNetMRC[NET_MRC],[1]!tblFixedNetMRC[MONTH],BA$21,[1]!tblFixedNetMRC[KPI],$AZ$20,[1]!tblFixedNetMRC[ACCOUNT_MANAGER],$AM24)</f>
        <v>#REF!</v>
      </c>
      <c r="BB24" s="81" t="e">
        <f>SUMIFS([1]!tblFixedNetMRC[NET_MRC],[1]!tblFixedNetMRC[MONTH],BB$21,[1]!tblFixedNetMRC[KPI],$AZ$20,[1]!tblFixedNetMRC[ACCOUNT_MANAGER],$AM24)</f>
        <v>#REF!</v>
      </c>
      <c r="BC24" s="80" t="e">
        <f>SUMIFS([1]!tblFixedNetMRC[NET_MRC],[1]!tblFixedNetMRC[MONTH],BC$21,[1]!tblFixedNetMRC[KPI],$BC$20,[1]!tblFixedNetMRC[ACCOUNT_MANAGER],$AM24)</f>
        <v>#REF!</v>
      </c>
      <c r="BD24" s="51" t="e">
        <f>SUMIFS([1]!tblFixedNetMRC[NET_MRC],[1]!tblFixedNetMRC[MONTH],BD$21,[1]!tblFixedNetMRC[KPI],$BC$20,[1]!tblFixedNetMRC[ACCOUNT_MANAGER],$AM24)</f>
        <v>#REF!</v>
      </c>
      <c r="BE24" s="81" t="e">
        <f>SUMIFS([1]!tblFixedNetMRC[NET_MRC],[1]!tblFixedNetMRC[MONTH],BE$21,[1]!tblFixedNetMRC[KPI],$BC$20,[1]!tblFixedNetMRC[ACCOUNT_MANAGER],$AM24)</f>
        <v>#REF!</v>
      </c>
      <c r="BF24" s="80" t="str">
        <f>IFERROR(SUMIFS([1]!tblActvChurn[POINTS],[1]!tblActvChurn[MONTH],DATE(YEAR(BF$21),MONTH(BF$21),1),[1]!tblActvChurn[AM],$AM24,[1]!tblActvChurn[KPI],$BF$20),"")</f>
        <v/>
      </c>
      <c r="BG24" s="51" t="str">
        <f>IFERROR(SUMIFS([1]!tblActvChurn[POINTS],[1]!tblActvChurn[MONTH],DATE(YEAR(BG$21),MONTH(BG$21),1),[1]!tblActvChurn[AM],$AM24,[1]!tblActvChurn[KPI],$BF$20),"")</f>
        <v/>
      </c>
      <c r="BH24" s="81" t="str">
        <f>IFERROR(SUMIFS([1]!tblActvChurn[POINTS],[1]!tblActvChurn[MONTH],DATE(YEAR(BH$21),MONTH(BH$21),1),[1]!tblActvChurn[AM],$AM24,[1]!tblActvChurn[KPI],$BF$20),"")</f>
        <v/>
      </c>
      <c r="BI24" s="80" t="str">
        <f>IFERROR(SUMIFS([1]!tblActvChurn[POINTS],[1]!tblActvChurn[MONTH],DATE(YEAR(BI$21),MONTH(BI$21),1),[1]!tblActvChurn[AM],$AM24,[1]!tblActvChurn[KPI],$BI$20),"")</f>
        <v/>
      </c>
      <c r="BJ24" s="51" t="str">
        <f>IFERROR(SUMIFS([1]!tblActvChurn[POINTS],[1]!tblActvChurn[MONTH],DATE(YEAR(BJ$21),MONTH(BJ$21),1),[1]!tblActvChurn[AM],$AM24,[1]!tblActvChurn[KPI],$BI$20),"")</f>
        <v/>
      </c>
      <c r="BK24" s="81" t="str">
        <f>IFERROR(SUMIFS([1]!tblActvChurn[POINTS],[1]!tblActvChurn[MONTH],DATE(YEAR(BK$21),MONTH(BK$21),1),[1]!tblActvChurn[AM],$AM24,[1]!tblActvChurn[KPI],$BI$20),"")</f>
        <v/>
      </c>
      <c r="BM24" s="41"/>
      <c r="CF24" s="52"/>
      <c r="CG24" s="40"/>
    </row>
    <row r="25" spans="1:85">
      <c r="A25" s="79" t="s">
        <v>12</v>
      </c>
      <c r="B25" s="5" t="str">
        <f t="shared" si="8"/>
        <v/>
      </c>
      <c r="C25" s="5" t="str">
        <f t="shared" si="8"/>
        <v/>
      </c>
      <c r="D25" s="5"/>
      <c r="E25" s="6" t="e">
        <f>SUMIFS('[1]Staff Targets'!$G:$G,'[1]Staff Targets'!A:A,$E$21,'[1]Staff Targets'!$B:$B,$A25)</f>
        <v>#VALUE!</v>
      </c>
      <c r="F25" s="9">
        <f t="shared" si="9"/>
        <v>0</v>
      </c>
      <c r="G25" s="7" t="e">
        <f t="shared" si="10"/>
        <v>#VALUE!</v>
      </c>
      <c r="H25" s="5" t="e">
        <f t="shared" si="10"/>
        <v>#VALUE!</v>
      </c>
      <c r="I25" s="5"/>
      <c r="J25" s="6" t="e">
        <f>SUMIFS('[1]Staff Targets'!$H:$H,'[1]Staff Targets'!A:A,$J$21,'[1]Staff Targets'!$B:$B,$A25)</f>
        <v>#VALUE!</v>
      </c>
      <c r="K25" s="9">
        <f t="shared" si="11"/>
        <v>0</v>
      </c>
      <c r="L25" s="7" t="e">
        <f t="shared" si="13"/>
        <v>#REF!</v>
      </c>
      <c r="M25" s="5" t="e">
        <f t="shared" si="13"/>
        <v>#REF!</v>
      </c>
      <c r="N25" s="6"/>
      <c r="O25" s="6" t="e">
        <f>SUMIFS('[1]Staff Targets'!$I:$I,'[1]Staff Targets'!A:A,$J$21,'[1]Staff Targets'!$B:$B,$A25)</f>
        <v>#VALUE!</v>
      </c>
      <c r="P25" s="4">
        <f t="shared" si="14"/>
        <v>0</v>
      </c>
      <c r="Q25" s="8" t="e">
        <f>SUMIFS([1]!REV[Rev],[1]!REV[MONTH],$Q$21,[1]!REV[AM_NAME],$A25)</f>
        <v>#REF!</v>
      </c>
      <c r="R25" s="6" t="e">
        <f>SUMIFS([1]!REV[Rev],[1]!REV[MONTH],$R$21,[1]!REV[AM_NAME],$A25)</f>
        <v>#REF!</v>
      </c>
      <c r="S25" s="6"/>
      <c r="T25" s="6" t="e">
        <f>SUMIFS('[1]Staff Targets'!$J:$J,'[1]Staff Targets'!A:A,$J$21,'[1]Staff Targets'!$B:$B,$A25)</f>
        <v>#VALUE!</v>
      </c>
      <c r="U25" s="4">
        <f t="shared" si="15"/>
        <v>0</v>
      </c>
      <c r="V25" s="5" t="e">
        <f>SUMIFS([1]!tbl_DDOS[MRC],[1]!tbl_DDOS[month2],V$21,[1]!tbl_DDOS[AM],$A25)</f>
        <v>#REF!</v>
      </c>
      <c r="W25" s="5" t="e">
        <f>SUMIFS([1]!tbl_DDOS[MRC],[1]!tbl_DDOS[month2],W$21,[1]!tbl_DDOS[AM],$A25)</f>
        <v>#REF!</v>
      </c>
      <c r="X25" s="6"/>
      <c r="Y25" s="6" t="e">
        <f>SUMIFS('[1]Staff Targets'!$K:$K,'[1]Staff Targets'!A:A,$J$21,'[1]Staff Targets'!$B:$B,$A25)</f>
        <v>#VALUE!</v>
      </c>
      <c r="Z25" s="4">
        <f t="shared" si="16"/>
        <v>0</v>
      </c>
      <c r="AB25" s="73"/>
      <c r="AC25" s="74"/>
      <c r="AD25" s="52"/>
      <c r="AE25" s="74"/>
      <c r="AG25" s="73">
        <f>VLOOKUP(A25,[2]Disciplinary!B$31:AG$40,32,0)</f>
        <v>1.3451090873353861</v>
      </c>
      <c r="AH25" s="74">
        <f t="shared" ref="AH25:AH30" si="17">AG25-AB25</f>
        <v>1.3451090873353861</v>
      </c>
      <c r="AJ25" s="27"/>
      <c r="AM25" s="75" t="str">
        <f t="shared" si="6"/>
        <v>Arjun Subaraman</v>
      </c>
      <c r="AN25" s="80" t="str">
        <f>IFERROR(SUMIFS([1]!tblActvChurn[POINTS],[1]!tblActvChurn[MONTH],DATE(YEAR(AN$21),MONTH(AN$21),1),[1]!tblActvChurn[AM],$AM25,[1]!tblActvChurn[KPI],$AN$20),"")</f>
        <v/>
      </c>
      <c r="AO25" s="51" t="str">
        <f>IFERROR(SUMIFS([1]!tblActvChurn[POINTS],[1]!tblActvChurn[MONTH],DATE(YEAR(AO$21),MONTH(AO$21),1),[1]!tblActvChurn[AM],$AM25,[1]!tblActvChurn[KPI],$AN$20),"")</f>
        <v/>
      </c>
      <c r="AP25" s="81" t="str">
        <f>IFERROR(SUMIFS([1]!tblActvChurn[POINTS],[1]!tblActvChurn[MONTH],DATE(YEAR(AP$21),MONTH(AP$21),1),[1]!tblActvChurn[AM],$AM25,[1]!tblActvChurn[KPI],$AN$20),"")</f>
        <v/>
      </c>
      <c r="AQ25" s="80" t="e">
        <f>-IFERROR(SUMIFS([1]!tblActvChurn[POINTS],[1]!tblActvChurn[MONTH],DATE(YEAR(AQ$21),MONTH(AQ$21),1),[1]!tblActvChurn[AM],$AM25,[1]!tblActvChurn[KPI],$AQ$20),"")</f>
        <v>#VALUE!</v>
      </c>
      <c r="AR25" s="51" t="e">
        <f>-IFERROR(SUMIFS([1]!tblActvChurn[POINTS],[1]!tblActvChurn[MONTH],DATE(YEAR(AR$21),MONTH(AR$21),1),[1]!tblActvChurn[AM],$AM25,[1]!tblActvChurn[KPI],$AQ$20),"")</f>
        <v>#VALUE!</v>
      </c>
      <c r="AS25" s="81" t="e">
        <f>-IFERROR(SUMIFS([1]!tblActvChurn[POINTS],[1]!tblActvChurn[MONTH],DATE(YEAR(AS$21),MONTH(AS$21),1),[1]!tblActvChurn[AM],$AM25,[1]!tblActvChurn[KPI],$AQ$20),"")</f>
        <v>#VALUE!</v>
      </c>
      <c r="AT25" s="80" t="str">
        <f>IFERROR(SUMIFS([1]!tblActvChurn[POINTS],[1]!tblActvChurn[MONTH],DATE(YEAR(AT$21),MONTH(AT$21),1),[1]!tblActvChurn[AM],$AM25,[1]!tblActvChurn[KPI],$AT$20),"")</f>
        <v/>
      </c>
      <c r="AU25" s="51" t="str">
        <f>IFERROR(SUMIFS([1]!tblActvChurn[POINTS],[1]!tblActvChurn[MONTH],DATE(YEAR(AU$21),MONTH(AU$21),1),[1]!tblActvChurn[AM],$AM25,[1]!tblActvChurn[KPI],$AT$20),"")</f>
        <v/>
      </c>
      <c r="AV25" s="81" t="str">
        <f>IFERROR(SUMIFS([1]!tblActvChurn[POINTS],[1]!tblActvChurn[MONTH],DATE(YEAR(AV$21),MONTH(AV$21),1),[1]!tblActvChurn[AM],$AM25,[1]!tblActvChurn[KPI],$AT$20),"")</f>
        <v/>
      </c>
      <c r="AW25" s="80" t="e">
        <f>SUMIFS([1]!tblFixedNetMRC[NET_MRC],[1]!tblFixedNetMRC[MONTH],AW$21,[1]!tblFixedNetMRC[KPI],$AW$20,[1]!tblFixedNetMRC[ACCOUNT_MANAGER],$AM25)</f>
        <v>#REF!</v>
      </c>
      <c r="AX25" s="51" t="e">
        <f>SUMIFS([1]!tblFixedNetMRC[NET_MRC],[1]!tblFixedNetMRC[MONTH],AX$21,[1]!tblFixedNetMRC[KPI],$AW$20,[1]!tblFixedNetMRC[ACCOUNT_MANAGER],$AM25)</f>
        <v>#REF!</v>
      </c>
      <c r="AY25" s="81" t="e">
        <f>SUMIFS([1]!tblFixedNetMRC[NET_MRC],[1]!tblFixedNetMRC[MONTH],AY$21,[1]!tblFixedNetMRC[KPI],$AW$20,[1]!tblFixedNetMRC[ACCOUNT_MANAGER],$AM25)</f>
        <v>#REF!</v>
      </c>
      <c r="AZ25" s="80" t="e">
        <f>SUMIFS([1]!tblFixedNetMRC[NET_MRC],[1]!tblFixedNetMRC[MONTH],AZ$21,[1]!tblFixedNetMRC[KPI],$AZ$20,[1]!tblFixedNetMRC[ACCOUNT_MANAGER],$AM25)</f>
        <v>#REF!</v>
      </c>
      <c r="BA25" s="51" t="e">
        <f>SUMIFS([1]!tblFixedNetMRC[NET_MRC],[1]!tblFixedNetMRC[MONTH],BA$21,[1]!tblFixedNetMRC[KPI],$AZ$20,[1]!tblFixedNetMRC[ACCOUNT_MANAGER],$AM25)</f>
        <v>#REF!</v>
      </c>
      <c r="BB25" s="81" t="e">
        <f>SUMIFS([1]!tblFixedNetMRC[NET_MRC],[1]!tblFixedNetMRC[MONTH],BB$21,[1]!tblFixedNetMRC[KPI],$AZ$20,[1]!tblFixedNetMRC[ACCOUNT_MANAGER],$AM25)</f>
        <v>#REF!</v>
      </c>
      <c r="BC25" s="80" t="e">
        <f>SUMIFS([1]!tblFixedNetMRC[NET_MRC],[1]!tblFixedNetMRC[MONTH],BC$21,[1]!tblFixedNetMRC[KPI],$BC$20,[1]!tblFixedNetMRC[ACCOUNT_MANAGER],$AM25)</f>
        <v>#REF!</v>
      </c>
      <c r="BD25" s="51" t="e">
        <f>SUMIFS([1]!tblFixedNetMRC[NET_MRC],[1]!tblFixedNetMRC[MONTH],BD$21,[1]!tblFixedNetMRC[KPI],$BC$20,[1]!tblFixedNetMRC[ACCOUNT_MANAGER],$AM25)</f>
        <v>#REF!</v>
      </c>
      <c r="BE25" s="81" t="e">
        <f>SUMIFS([1]!tblFixedNetMRC[NET_MRC],[1]!tblFixedNetMRC[MONTH],BE$21,[1]!tblFixedNetMRC[KPI],$BC$20,[1]!tblFixedNetMRC[ACCOUNT_MANAGER],$AM25)</f>
        <v>#REF!</v>
      </c>
      <c r="BF25" s="80" t="str">
        <f>IFERROR(SUMIFS([1]!tblActvChurn[POINTS],[1]!tblActvChurn[MONTH],DATE(YEAR(BF$21),MONTH(BF$21),1),[1]!tblActvChurn[AM],$AM25,[1]!tblActvChurn[KPI],$BF$20),"")</f>
        <v/>
      </c>
      <c r="BG25" s="51" t="str">
        <f>IFERROR(SUMIFS([1]!tblActvChurn[POINTS],[1]!tblActvChurn[MONTH],DATE(YEAR(BG$21),MONTH(BG$21),1),[1]!tblActvChurn[AM],$AM25,[1]!tblActvChurn[KPI],$BF$20),"")</f>
        <v/>
      </c>
      <c r="BH25" s="81" t="str">
        <f>IFERROR(SUMIFS([1]!tblActvChurn[POINTS],[1]!tblActvChurn[MONTH],DATE(YEAR(BH$21),MONTH(BH$21),1),[1]!tblActvChurn[AM],$AM25,[1]!tblActvChurn[KPI],$BF$20),"")</f>
        <v/>
      </c>
      <c r="BI25" s="80" t="str">
        <f>IFERROR(SUMIFS([1]!tblActvChurn[POINTS],[1]!tblActvChurn[MONTH],DATE(YEAR(BI$21),MONTH(BI$21),1),[1]!tblActvChurn[AM],$AM25,[1]!tblActvChurn[KPI],$BI$20),"")</f>
        <v/>
      </c>
      <c r="BJ25" s="51" t="str">
        <f>IFERROR(SUMIFS([1]!tblActvChurn[POINTS],[1]!tblActvChurn[MONTH],DATE(YEAR(BJ$21),MONTH(BJ$21),1),[1]!tblActvChurn[AM],$AM25,[1]!tblActvChurn[KPI],$BI$20),"")</f>
        <v/>
      </c>
      <c r="BK25" s="81" t="str">
        <f>IFERROR(SUMIFS([1]!tblActvChurn[POINTS],[1]!tblActvChurn[MONTH],DATE(YEAR(BK$21),MONTH(BK$21),1),[1]!tblActvChurn[AM],$AM25,[1]!tblActvChurn[KPI],$BI$20),"")</f>
        <v/>
      </c>
      <c r="BM25" s="41"/>
      <c r="CF25" s="52"/>
      <c r="CG25" s="40"/>
    </row>
    <row r="26" spans="1:85">
      <c r="A26" s="79" t="s">
        <v>13</v>
      </c>
      <c r="B26" s="5" t="str">
        <f t="shared" si="8"/>
        <v/>
      </c>
      <c r="C26" s="5" t="str">
        <f t="shared" si="8"/>
        <v/>
      </c>
      <c r="D26" s="5"/>
      <c r="E26" s="6" t="e">
        <f>SUMIFS('[1]Staff Targets'!$G:$G,'[1]Staff Targets'!A:A,$E$21,'[1]Staff Targets'!$B:$B,$A26)</f>
        <v>#VALUE!</v>
      </c>
      <c r="F26" s="9">
        <f t="shared" si="9"/>
        <v>0</v>
      </c>
      <c r="G26" s="7" t="e">
        <f t="shared" si="10"/>
        <v>#VALUE!</v>
      </c>
      <c r="H26" s="5" t="e">
        <f t="shared" si="10"/>
        <v>#VALUE!</v>
      </c>
      <c r="I26" s="5"/>
      <c r="J26" s="6" t="e">
        <f>SUMIFS('[1]Staff Targets'!$H:$H,'[1]Staff Targets'!A:A,$J$21,'[1]Staff Targets'!$B:$B,$A26)</f>
        <v>#VALUE!</v>
      </c>
      <c r="K26" s="9">
        <f t="shared" si="11"/>
        <v>0</v>
      </c>
      <c r="L26" s="7" t="e">
        <f t="shared" si="13"/>
        <v>#REF!</v>
      </c>
      <c r="M26" s="5" t="e">
        <f t="shared" si="13"/>
        <v>#REF!</v>
      </c>
      <c r="N26" s="6"/>
      <c r="O26" s="6" t="e">
        <f>SUMIFS('[1]Staff Targets'!$I:$I,'[1]Staff Targets'!A:A,$J$21,'[1]Staff Targets'!$B:$B,$A26)</f>
        <v>#VALUE!</v>
      </c>
      <c r="P26" s="4">
        <f t="shared" si="14"/>
        <v>0</v>
      </c>
      <c r="Q26" s="8" t="e">
        <f>SUMIFS([1]!REV[Rev],[1]!REV[MONTH],$Q$21,[1]!REV[AM_NAME],$A26)</f>
        <v>#REF!</v>
      </c>
      <c r="R26" s="6" t="e">
        <f>SUMIFS([1]!REV[Rev],[1]!REV[MONTH],$R$21,[1]!REV[AM_NAME],$A26)</f>
        <v>#REF!</v>
      </c>
      <c r="S26" s="6"/>
      <c r="T26" s="6" t="e">
        <f>SUMIFS('[1]Staff Targets'!$J:$J,'[1]Staff Targets'!A:A,$J$21,'[1]Staff Targets'!$B:$B,$A26)</f>
        <v>#VALUE!</v>
      </c>
      <c r="U26" s="4">
        <f t="shared" si="15"/>
        <v>0</v>
      </c>
      <c r="V26" s="5" t="e">
        <f>SUMIFS([1]!tbl_DDOS[MRC],[1]!tbl_DDOS[month2],V$21,[1]!tbl_DDOS[AM],$A26)</f>
        <v>#REF!</v>
      </c>
      <c r="W26" s="5" t="e">
        <f>SUMIFS([1]!tbl_DDOS[MRC],[1]!tbl_DDOS[month2],W$21,[1]!tbl_DDOS[AM],$A26)</f>
        <v>#REF!</v>
      </c>
      <c r="X26" s="6"/>
      <c r="Y26" s="6" t="e">
        <f>SUMIFS('[1]Staff Targets'!$K:$K,'[1]Staff Targets'!A:A,$J$21,'[1]Staff Targets'!$B:$B,$A26)</f>
        <v>#VALUE!</v>
      </c>
      <c r="Z26" s="4">
        <f t="shared" si="16"/>
        <v>0</v>
      </c>
      <c r="AB26" s="73"/>
      <c r="AC26" s="74"/>
      <c r="AD26" s="52"/>
      <c r="AE26" s="74"/>
      <c r="AG26" s="73">
        <f>VLOOKUP(A26,[2]Disciplinary!B$31:AG$40,32,0)</f>
        <v>0.81283817337795528</v>
      </c>
      <c r="AH26" s="74">
        <f t="shared" si="17"/>
        <v>0.81283817337795528</v>
      </c>
      <c r="AJ26" s="27"/>
      <c r="AM26" s="75" t="str">
        <f t="shared" si="6"/>
        <v>Ehab Hajou</v>
      </c>
      <c r="AN26" s="80" t="str">
        <f>IFERROR(SUMIFS([1]!tblActvChurn[POINTS],[1]!tblActvChurn[MONTH],DATE(YEAR(AN$21),MONTH(AN$21),1),[1]!tblActvChurn[AM],$AM26,[1]!tblActvChurn[KPI],$AN$20),"")</f>
        <v/>
      </c>
      <c r="AO26" s="51" t="str">
        <f>IFERROR(SUMIFS([1]!tblActvChurn[POINTS],[1]!tblActvChurn[MONTH],DATE(YEAR(AO$21),MONTH(AO$21),1),[1]!tblActvChurn[AM],$AM26,[1]!tblActvChurn[KPI],$AN$20),"")</f>
        <v/>
      </c>
      <c r="AP26" s="81" t="str">
        <f>IFERROR(SUMIFS([1]!tblActvChurn[POINTS],[1]!tblActvChurn[MONTH],DATE(YEAR(AP$21),MONTH(AP$21),1),[1]!tblActvChurn[AM],$AM26,[1]!tblActvChurn[KPI],$AN$20),"")</f>
        <v/>
      </c>
      <c r="AQ26" s="80" t="e">
        <f>-IFERROR(SUMIFS([1]!tblActvChurn[POINTS],[1]!tblActvChurn[MONTH],DATE(YEAR(AQ$21),MONTH(AQ$21),1),[1]!tblActvChurn[AM],$AM26,[1]!tblActvChurn[KPI],$AQ$20),"")</f>
        <v>#VALUE!</v>
      </c>
      <c r="AR26" s="51" t="e">
        <f>-IFERROR(SUMIFS([1]!tblActvChurn[POINTS],[1]!tblActvChurn[MONTH],DATE(YEAR(AR$21),MONTH(AR$21),1),[1]!tblActvChurn[AM],$AM26,[1]!tblActvChurn[KPI],$AQ$20),"")</f>
        <v>#VALUE!</v>
      </c>
      <c r="AS26" s="81" t="e">
        <f>-IFERROR(SUMIFS([1]!tblActvChurn[POINTS],[1]!tblActvChurn[MONTH],DATE(YEAR(AS$21),MONTH(AS$21),1),[1]!tblActvChurn[AM],$AM26,[1]!tblActvChurn[KPI],$AQ$20),"")</f>
        <v>#VALUE!</v>
      </c>
      <c r="AT26" s="80" t="str">
        <f>IFERROR(SUMIFS([1]!tblActvChurn[POINTS],[1]!tblActvChurn[MONTH],DATE(YEAR(AT$21),MONTH(AT$21),1),[1]!tblActvChurn[AM],$AM26,[1]!tblActvChurn[KPI],$AT$20),"")</f>
        <v/>
      </c>
      <c r="AU26" s="51" t="str">
        <f>IFERROR(SUMIFS([1]!tblActvChurn[POINTS],[1]!tblActvChurn[MONTH],DATE(YEAR(AU$21),MONTH(AU$21),1),[1]!tblActvChurn[AM],$AM26,[1]!tblActvChurn[KPI],$AT$20),"")</f>
        <v/>
      </c>
      <c r="AV26" s="81" t="str">
        <f>IFERROR(SUMIFS([1]!tblActvChurn[POINTS],[1]!tblActvChurn[MONTH],DATE(YEAR(AV$21),MONTH(AV$21),1),[1]!tblActvChurn[AM],$AM26,[1]!tblActvChurn[KPI],$AT$20),"")</f>
        <v/>
      </c>
      <c r="AW26" s="80" t="e">
        <f>SUMIFS([1]!tblFixedNetMRC[NET_MRC],[1]!tblFixedNetMRC[MONTH],AW$21,[1]!tblFixedNetMRC[KPI],$AW$20,[1]!tblFixedNetMRC[ACCOUNT_MANAGER],$AM26)</f>
        <v>#REF!</v>
      </c>
      <c r="AX26" s="51" t="e">
        <f>SUMIFS([1]!tblFixedNetMRC[NET_MRC],[1]!tblFixedNetMRC[MONTH],AX$21,[1]!tblFixedNetMRC[KPI],$AW$20,[1]!tblFixedNetMRC[ACCOUNT_MANAGER],$AM26)</f>
        <v>#REF!</v>
      </c>
      <c r="AY26" s="81" t="e">
        <f>SUMIFS([1]!tblFixedNetMRC[NET_MRC],[1]!tblFixedNetMRC[MONTH],AY$21,[1]!tblFixedNetMRC[KPI],$AW$20,[1]!tblFixedNetMRC[ACCOUNT_MANAGER],$AM26)</f>
        <v>#REF!</v>
      </c>
      <c r="AZ26" s="80" t="e">
        <f>SUMIFS([1]!tblFixedNetMRC[NET_MRC],[1]!tblFixedNetMRC[MONTH],AZ$21,[1]!tblFixedNetMRC[KPI],$AZ$20,[1]!tblFixedNetMRC[ACCOUNT_MANAGER],$AM26)</f>
        <v>#REF!</v>
      </c>
      <c r="BA26" s="51" t="e">
        <f>SUMIFS([1]!tblFixedNetMRC[NET_MRC],[1]!tblFixedNetMRC[MONTH],BA$21,[1]!tblFixedNetMRC[KPI],$AZ$20,[1]!tblFixedNetMRC[ACCOUNT_MANAGER],$AM26)</f>
        <v>#REF!</v>
      </c>
      <c r="BB26" s="81" t="e">
        <f>SUMIFS([1]!tblFixedNetMRC[NET_MRC],[1]!tblFixedNetMRC[MONTH],BB$21,[1]!tblFixedNetMRC[KPI],$AZ$20,[1]!tblFixedNetMRC[ACCOUNT_MANAGER],$AM26)</f>
        <v>#REF!</v>
      </c>
      <c r="BC26" s="80" t="e">
        <f>SUMIFS([1]!tblFixedNetMRC[NET_MRC],[1]!tblFixedNetMRC[MONTH],BC$21,[1]!tblFixedNetMRC[KPI],$BC$20,[1]!tblFixedNetMRC[ACCOUNT_MANAGER],$AM26)</f>
        <v>#REF!</v>
      </c>
      <c r="BD26" s="51" t="e">
        <f>SUMIFS([1]!tblFixedNetMRC[NET_MRC],[1]!tblFixedNetMRC[MONTH],BD$21,[1]!tblFixedNetMRC[KPI],$BC$20,[1]!tblFixedNetMRC[ACCOUNT_MANAGER],$AM26)</f>
        <v>#REF!</v>
      </c>
      <c r="BE26" s="81" t="e">
        <f>SUMIFS([1]!tblFixedNetMRC[NET_MRC],[1]!tblFixedNetMRC[MONTH],BE$21,[1]!tblFixedNetMRC[KPI],$BC$20,[1]!tblFixedNetMRC[ACCOUNT_MANAGER],$AM26)</f>
        <v>#REF!</v>
      </c>
      <c r="BF26" s="80" t="str">
        <f>IFERROR(SUMIFS([1]!tblActvChurn[POINTS],[1]!tblActvChurn[MONTH],DATE(YEAR(BF$21),MONTH(BF$21),1),[1]!tblActvChurn[AM],$AM26,[1]!tblActvChurn[KPI],$BF$20),"")</f>
        <v/>
      </c>
      <c r="BG26" s="51" t="str">
        <f>IFERROR(SUMIFS([1]!tblActvChurn[POINTS],[1]!tblActvChurn[MONTH],DATE(YEAR(BG$21),MONTH(BG$21),1),[1]!tblActvChurn[AM],$AM26,[1]!tblActvChurn[KPI],$BF$20),"")</f>
        <v/>
      </c>
      <c r="BH26" s="81" t="str">
        <f>IFERROR(SUMIFS([1]!tblActvChurn[POINTS],[1]!tblActvChurn[MONTH],DATE(YEAR(BH$21),MONTH(BH$21),1),[1]!tblActvChurn[AM],$AM26,[1]!tblActvChurn[KPI],$BF$20),"")</f>
        <v/>
      </c>
      <c r="BI26" s="80" t="str">
        <f>IFERROR(SUMIFS([1]!tblActvChurn[POINTS],[1]!tblActvChurn[MONTH],DATE(YEAR(BI$21),MONTH(BI$21),1),[1]!tblActvChurn[AM],$AM26,[1]!tblActvChurn[KPI],$BI$20),"")</f>
        <v/>
      </c>
      <c r="BJ26" s="51" t="str">
        <f>IFERROR(SUMIFS([1]!tblActvChurn[POINTS],[1]!tblActvChurn[MONTH],DATE(YEAR(BJ$21),MONTH(BJ$21),1),[1]!tblActvChurn[AM],$AM26,[1]!tblActvChurn[KPI],$BI$20),"")</f>
        <v/>
      </c>
      <c r="BK26" s="81" t="str">
        <f>IFERROR(SUMIFS([1]!tblActvChurn[POINTS],[1]!tblActvChurn[MONTH],DATE(YEAR(BK$21),MONTH(BK$21),1),[1]!tblActvChurn[AM],$AM26,[1]!tblActvChurn[KPI],$BI$20),"")</f>
        <v/>
      </c>
      <c r="BM26" s="41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F26" s="52"/>
      <c r="CG26" s="40"/>
    </row>
    <row r="27" spans="1:85">
      <c r="A27" s="79" t="s">
        <v>14</v>
      </c>
      <c r="B27" s="5" t="str">
        <f t="shared" si="8"/>
        <v/>
      </c>
      <c r="C27" s="5" t="str">
        <f t="shared" si="8"/>
        <v/>
      </c>
      <c r="D27" s="5"/>
      <c r="E27" s="6" t="e">
        <f>SUMIFS('[1]Staff Targets'!$G:$G,'[1]Staff Targets'!A:A,$E$21,'[1]Staff Targets'!$B:$B,$A27)</f>
        <v>#VALUE!</v>
      </c>
      <c r="F27" s="9">
        <f t="shared" si="9"/>
        <v>0</v>
      </c>
      <c r="G27" s="7" t="e">
        <f t="shared" si="10"/>
        <v>#VALUE!</v>
      </c>
      <c r="H27" s="5" t="e">
        <f t="shared" si="10"/>
        <v>#VALUE!</v>
      </c>
      <c r="I27" s="5"/>
      <c r="J27" s="6" t="e">
        <f>SUMIFS('[1]Staff Targets'!$H:$H,'[1]Staff Targets'!A:A,$J$21,'[1]Staff Targets'!$B:$B,$A27)</f>
        <v>#VALUE!</v>
      </c>
      <c r="K27" s="9">
        <f t="shared" si="11"/>
        <v>0</v>
      </c>
      <c r="L27" s="7" t="e">
        <f t="shared" si="13"/>
        <v>#REF!</v>
      </c>
      <c r="M27" s="5" t="e">
        <f t="shared" si="13"/>
        <v>#REF!</v>
      </c>
      <c r="N27" s="6"/>
      <c r="O27" s="6" t="e">
        <f>SUMIFS('[1]Staff Targets'!$I:$I,'[1]Staff Targets'!A:A,$J$21,'[1]Staff Targets'!$B:$B,$A27)</f>
        <v>#VALUE!</v>
      </c>
      <c r="P27" s="4">
        <f t="shared" si="14"/>
        <v>0</v>
      </c>
      <c r="Q27" s="8" t="e">
        <f>SUMIFS([1]!REV[Rev],[1]!REV[MONTH],$Q$21,[1]!REV[AM_NAME],$A27)</f>
        <v>#REF!</v>
      </c>
      <c r="R27" s="6" t="e">
        <f>SUMIFS([1]!REV[Rev],[1]!REV[MONTH],$R$21,[1]!REV[AM_NAME],$A27)</f>
        <v>#REF!</v>
      </c>
      <c r="S27" s="6"/>
      <c r="T27" s="6" t="e">
        <f>SUMIFS('[1]Staff Targets'!$J:$J,'[1]Staff Targets'!A:A,$J$21,'[1]Staff Targets'!$B:$B,$A27)</f>
        <v>#VALUE!</v>
      </c>
      <c r="U27" s="4">
        <f t="shared" si="15"/>
        <v>0</v>
      </c>
      <c r="V27" s="5" t="e">
        <f>SUMIFS([1]!tbl_DDOS[MRC],[1]!tbl_DDOS[month2],V$21,[1]!tbl_DDOS[AM],$A27)</f>
        <v>#REF!</v>
      </c>
      <c r="W27" s="5" t="e">
        <f>SUMIFS([1]!tbl_DDOS[MRC],[1]!tbl_DDOS[month2],W$21,[1]!tbl_DDOS[AM],$A27)</f>
        <v>#REF!</v>
      </c>
      <c r="X27" s="6"/>
      <c r="Y27" s="6" t="e">
        <f>SUMIFS('[1]Staff Targets'!$K:$K,'[1]Staff Targets'!A:A,$J$21,'[1]Staff Targets'!$B:$B,$A27)</f>
        <v>#VALUE!</v>
      </c>
      <c r="Z27" s="4">
        <f t="shared" si="16"/>
        <v>0</v>
      </c>
      <c r="AB27" s="73"/>
      <c r="AC27" s="74"/>
      <c r="AD27" s="52"/>
      <c r="AE27" s="74"/>
      <c r="AG27" s="73">
        <f>VLOOKUP(A27,[2]Disciplinary!B$31:AG$40,32,0)</f>
        <v>6.8927800000000001</v>
      </c>
      <c r="AH27" s="74">
        <f t="shared" si="17"/>
        <v>6.8927800000000001</v>
      </c>
      <c r="AJ27" s="27"/>
      <c r="AM27" s="75" t="str">
        <f t="shared" si="6"/>
        <v>Ghassan Fouany</v>
      </c>
      <c r="AN27" s="80" t="str">
        <f>IFERROR(SUMIFS([1]!tblActvChurn[POINTS],[1]!tblActvChurn[MONTH],DATE(YEAR(AN$21),MONTH(AN$21),1),[1]!tblActvChurn[AM],$AM27,[1]!tblActvChurn[KPI],$AN$20),"")</f>
        <v/>
      </c>
      <c r="AO27" s="51" t="str">
        <f>IFERROR(SUMIFS([1]!tblActvChurn[POINTS],[1]!tblActvChurn[MONTH],DATE(YEAR(AO$21),MONTH(AO$21),1),[1]!tblActvChurn[AM],$AM27,[1]!tblActvChurn[KPI],$AN$20),"")</f>
        <v/>
      </c>
      <c r="AP27" s="81" t="str">
        <f>IFERROR(SUMIFS([1]!tblActvChurn[POINTS],[1]!tblActvChurn[MONTH],DATE(YEAR(AP$21),MONTH(AP$21),1),[1]!tblActvChurn[AM],$AM27,[1]!tblActvChurn[KPI],$AN$20),"")</f>
        <v/>
      </c>
      <c r="AQ27" s="80" t="e">
        <f>-IFERROR(SUMIFS([1]!tblActvChurn[POINTS],[1]!tblActvChurn[MONTH],DATE(YEAR(AQ$21),MONTH(AQ$21),1),[1]!tblActvChurn[AM],$AM27,[1]!tblActvChurn[KPI],$AQ$20),"")</f>
        <v>#VALUE!</v>
      </c>
      <c r="AR27" s="51" t="e">
        <f>-IFERROR(SUMIFS([1]!tblActvChurn[POINTS],[1]!tblActvChurn[MONTH],DATE(YEAR(AR$21),MONTH(AR$21),1),[1]!tblActvChurn[AM],$AM27,[1]!tblActvChurn[KPI],$AQ$20),"")</f>
        <v>#VALUE!</v>
      </c>
      <c r="AS27" s="81" t="e">
        <f>-IFERROR(SUMIFS([1]!tblActvChurn[POINTS],[1]!tblActvChurn[MONTH],DATE(YEAR(AS$21),MONTH(AS$21),1),[1]!tblActvChurn[AM],$AM27,[1]!tblActvChurn[KPI],$AQ$20),"")</f>
        <v>#VALUE!</v>
      </c>
      <c r="AT27" s="80" t="str">
        <f>IFERROR(SUMIFS([1]!tblActvChurn[POINTS],[1]!tblActvChurn[MONTH],DATE(YEAR(AT$21),MONTH(AT$21),1),[1]!tblActvChurn[AM],$AM27,[1]!tblActvChurn[KPI],$AT$20),"")</f>
        <v/>
      </c>
      <c r="AU27" s="51" t="str">
        <f>IFERROR(SUMIFS([1]!tblActvChurn[POINTS],[1]!tblActvChurn[MONTH],DATE(YEAR(AU$21),MONTH(AU$21),1),[1]!tblActvChurn[AM],$AM27,[1]!tblActvChurn[KPI],$AT$20),"")</f>
        <v/>
      </c>
      <c r="AV27" s="81" t="str">
        <f>IFERROR(SUMIFS([1]!tblActvChurn[POINTS],[1]!tblActvChurn[MONTH],DATE(YEAR(AV$21),MONTH(AV$21),1),[1]!tblActvChurn[AM],$AM27,[1]!tblActvChurn[KPI],$AT$20),"")</f>
        <v/>
      </c>
      <c r="AW27" s="80" t="e">
        <f>SUMIFS([1]!tblFixedNetMRC[NET_MRC],[1]!tblFixedNetMRC[MONTH],AW$21,[1]!tblFixedNetMRC[KPI],$AW$20,[1]!tblFixedNetMRC[ACCOUNT_MANAGER],$AM27)</f>
        <v>#REF!</v>
      </c>
      <c r="AX27" s="51" t="e">
        <f>SUMIFS([1]!tblFixedNetMRC[NET_MRC],[1]!tblFixedNetMRC[MONTH],AX$21,[1]!tblFixedNetMRC[KPI],$AW$20,[1]!tblFixedNetMRC[ACCOUNT_MANAGER],$AM27)</f>
        <v>#REF!</v>
      </c>
      <c r="AY27" s="81" t="e">
        <f>SUMIFS([1]!tblFixedNetMRC[NET_MRC],[1]!tblFixedNetMRC[MONTH],AY$21,[1]!tblFixedNetMRC[KPI],$AW$20,[1]!tblFixedNetMRC[ACCOUNT_MANAGER],$AM27)</f>
        <v>#REF!</v>
      </c>
      <c r="AZ27" s="80" t="e">
        <f>SUMIFS([1]!tblFixedNetMRC[NET_MRC],[1]!tblFixedNetMRC[MONTH],AZ$21,[1]!tblFixedNetMRC[KPI],$AZ$20,[1]!tblFixedNetMRC[ACCOUNT_MANAGER],$AM27)</f>
        <v>#REF!</v>
      </c>
      <c r="BA27" s="51" t="e">
        <f>SUMIFS([1]!tblFixedNetMRC[NET_MRC],[1]!tblFixedNetMRC[MONTH],BA$21,[1]!tblFixedNetMRC[KPI],$AZ$20,[1]!tblFixedNetMRC[ACCOUNT_MANAGER],$AM27)</f>
        <v>#REF!</v>
      </c>
      <c r="BB27" s="81" t="e">
        <f>SUMIFS([1]!tblFixedNetMRC[NET_MRC],[1]!tblFixedNetMRC[MONTH],BB$21,[1]!tblFixedNetMRC[KPI],$AZ$20,[1]!tblFixedNetMRC[ACCOUNT_MANAGER],$AM27)</f>
        <v>#REF!</v>
      </c>
      <c r="BC27" s="80" t="e">
        <f>SUMIFS([1]!tblFixedNetMRC[NET_MRC],[1]!tblFixedNetMRC[MONTH],BC$21,[1]!tblFixedNetMRC[KPI],$BC$20,[1]!tblFixedNetMRC[ACCOUNT_MANAGER],$AM27)</f>
        <v>#REF!</v>
      </c>
      <c r="BD27" s="51" t="e">
        <f>SUMIFS([1]!tblFixedNetMRC[NET_MRC],[1]!tblFixedNetMRC[MONTH],BD$21,[1]!tblFixedNetMRC[KPI],$BC$20,[1]!tblFixedNetMRC[ACCOUNT_MANAGER],$AM27)</f>
        <v>#REF!</v>
      </c>
      <c r="BE27" s="81" t="e">
        <f>SUMIFS([1]!tblFixedNetMRC[NET_MRC],[1]!tblFixedNetMRC[MONTH],BE$21,[1]!tblFixedNetMRC[KPI],$BC$20,[1]!tblFixedNetMRC[ACCOUNT_MANAGER],$AM27)</f>
        <v>#REF!</v>
      </c>
      <c r="BF27" s="80" t="str">
        <f>IFERROR(SUMIFS([1]!tblActvChurn[POINTS],[1]!tblActvChurn[MONTH],DATE(YEAR(BF$21),MONTH(BF$21),1),[1]!tblActvChurn[AM],$AM27,[1]!tblActvChurn[KPI],$BF$20),"")</f>
        <v/>
      </c>
      <c r="BG27" s="51" t="str">
        <f>IFERROR(SUMIFS([1]!tblActvChurn[POINTS],[1]!tblActvChurn[MONTH],DATE(YEAR(BG$21),MONTH(BG$21),1),[1]!tblActvChurn[AM],$AM27,[1]!tblActvChurn[KPI],$BF$20),"")</f>
        <v/>
      </c>
      <c r="BH27" s="81" t="str">
        <f>IFERROR(SUMIFS([1]!tblActvChurn[POINTS],[1]!tblActvChurn[MONTH],DATE(YEAR(BH$21),MONTH(BH$21),1),[1]!tblActvChurn[AM],$AM27,[1]!tblActvChurn[KPI],$BF$20),"")</f>
        <v/>
      </c>
      <c r="BI27" s="80" t="str">
        <f>IFERROR(SUMIFS([1]!tblActvChurn[POINTS],[1]!tblActvChurn[MONTH],DATE(YEAR(BI$21),MONTH(BI$21),1),[1]!tblActvChurn[AM],$AM27,[1]!tblActvChurn[KPI],$BI$20),"")</f>
        <v/>
      </c>
      <c r="BJ27" s="51" t="str">
        <f>IFERROR(SUMIFS([1]!tblActvChurn[POINTS],[1]!tblActvChurn[MONTH],DATE(YEAR(BJ$21),MONTH(BJ$21),1),[1]!tblActvChurn[AM],$AM27,[1]!tblActvChurn[KPI],$BI$20),"")</f>
        <v/>
      </c>
      <c r="BK27" s="81" t="str">
        <f>IFERROR(SUMIFS([1]!tblActvChurn[POINTS],[1]!tblActvChurn[MONTH],DATE(YEAR(BK$21),MONTH(BK$21),1),[1]!tblActvChurn[AM],$AM27,[1]!tblActvChurn[KPI],$BI$20),"")</f>
        <v/>
      </c>
      <c r="BM27" s="41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F27" s="52"/>
      <c r="CG27" s="40"/>
    </row>
    <row r="28" spans="1:85">
      <c r="A28" s="79" t="s">
        <v>15</v>
      </c>
      <c r="B28" s="5" t="str">
        <f t="shared" si="8"/>
        <v/>
      </c>
      <c r="C28" s="5" t="str">
        <f t="shared" si="8"/>
        <v/>
      </c>
      <c r="D28" s="5"/>
      <c r="E28" s="6" t="e">
        <f>SUMIFS('[1]Staff Targets'!$G:$G,'[1]Staff Targets'!A:A,$E$21,'[1]Staff Targets'!$B:$B,$A28)</f>
        <v>#VALUE!</v>
      </c>
      <c r="F28" s="9">
        <f t="shared" si="9"/>
        <v>0</v>
      </c>
      <c r="G28" s="7" t="e">
        <f t="shared" si="10"/>
        <v>#VALUE!</v>
      </c>
      <c r="H28" s="5" t="e">
        <f t="shared" si="10"/>
        <v>#VALUE!</v>
      </c>
      <c r="I28" s="5"/>
      <c r="J28" s="6" t="e">
        <f>SUMIFS('[1]Staff Targets'!$H:$H,'[1]Staff Targets'!A:A,$J$21,'[1]Staff Targets'!$B:$B,$A28)</f>
        <v>#VALUE!</v>
      </c>
      <c r="K28" s="9">
        <f t="shared" si="11"/>
        <v>0</v>
      </c>
      <c r="L28" s="7" t="e">
        <f t="shared" si="13"/>
        <v>#REF!</v>
      </c>
      <c r="M28" s="5" t="e">
        <f t="shared" si="13"/>
        <v>#REF!</v>
      </c>
      <c r="N28" s="6"/>
      <c r="O28" s="6" t="e">
        <f>SUMIFS('[1]Staff Targets'!$I:$I,'[1]Staff Targets'!A:A,$J$21,'[1]Staff Targets'!$B:$B,$A28)</f>
        <v>#VALUE!</v>
      </c>
      <c r="P28" s="4">
        <f t="shared" si="14"/>
        <v>0</v>
      </c>
      <c r="Q28" s="8" t="e">
        <f>SUMIFS([1]!REV[Rev],[1]!REV[MONTH],$Q$21,[1]!REV[AM_NAME],$A28)</f>
        <v>#REF!</v>
      </c>
      <c r="R28" s="6" t="e">
        <f>SUMIFS([1]!REV[Rev],[1]!REV[MONTH],$R$21,[1]!REV[AM_NAME],$A28)</f>
        <v>#REF!</v>
      </c>
      <c r="S28" s="6"/>
      <c r="T28" s="6" t="e">
        <f>SUMIFS('[1]Staff Targets'!$J:$J,'[1]Staff Targets'!A:A,$J$21,'[1]Staff Targets'!$B:$B,$A28)</f>
        <v>#VALUE!</v>
      </c>
      <c r="U28" s="4">
        <f t="shared" si="15"/>
        <v>0</v>
      </c>
      <c r="V28" s="5" t="e">
        <f>SUMIFS([1]!tbl_DDOS[MRC],[1]!tbl_DDOS[month2],V$21,[1]!tbl_DDOS[AM],$A28)</f>
        <v>#REF!</v>
      </c>
      <c r="W28" s="5" t="e">
        <f>SUMIFS([1]!tbl_DDOS[MRC],[1]!tbl_DDOS[month2],W$21,[1]!tbl_DDOS[AM],$A28)</f>
        <v>#REF!</v>
      </c>
      <c r="X28" s="6"/>
      <c r="Y28" s="6" t="e">
        <f>SUMIFS('[1]Staff Targets'!$K:$K,'[1]Staff Targets'!A:A,$J$21,'[1]Staff Targets'!$B:$B,$A28)</f>
        <v>#VALUE!</v>
      </c>
      <c r="Z28" s="4">
        <f t="shared" si="16"/>
        <v>0</v>
      </c>
      <c r="AB28" s="73"/>
      <c r="AC28" s="74"/>
      <c r="AD28" s="52"/>
      <c r="AE28" s="74"/>
      <c r="AG28" s="73">
        <f>VLOOKUP(A28,[2]Disciplinary!B$31:AG$40,32,0)</f>
        <v>0.4378047786022996</v>
      </c>
      <c r="AH28" s="74">
        <f t="shared" si="17"/>
        <v>0.4378047786022996</v>
      </c>
      <c r="AJ28" s="27"/>
      <c r="AM28" s="75" t="str">
        <f t="shared" si="6"/>
        <v>Inayat Fazili</v>
      </c>
      <c r="AN28" s="80" t="str">
        <f>IFERROR(SUMIFS([1]!tblActvChurn[POINTS],[1]!tblActvChurn[MONTH],DATE(YEAR(AN$21),MONTH(AN$21),1),[1]!tblActvChurn[AM],$AM28,[1]!tblActvChurn[KPI],$AN$20),"")</f>
        <v/>
      </c>
      <c r="AO28" s="51" t="str">
        <f>IFERROR(SUMIFS([1]!tblActvChurn[POINTS],[1]!tblActvChurn[MONTH],DATE(YEAR(AO$21),MONTH(AO$21),1),[1]!tblActvChurn[AM],$AM28,[1]!tblActvChurn[KPI],$AN$20),"")</f>
        <v/>
      </c>
      <c r="AP28" s="81" t="str">
        <f>IFERROR(SUMIFS([1]!tblActvChurn[POINTS],[1]!tblActvChurn[MONTH],DATE(YEAR(AP$21),MONTH(AP$21),1),[1]!tblActvChurn[AM],$AM28,[1]!tblActvChurn[KPI],$AN$20),"")</f>
        <v/>
      </c>
      <c r="AQ28" s="80" t="e">
        <f>-IFERROR(SUMIFS([1]!tblActvChurn[POINTS],[1]!tblActvChurn[MONTH],DATE(YEAR(AQ$21),MONTH(AQ$21),1),[1]!tblActvChurn[AM],$AM28,[1]!tblActvChurn[KPI],$AQ$20),"")</f>
        <v>#VALUE!</v>
      </c>
      <c r="AR28" s="51" t="e">
        <f>-IFERROR(SUMIFS([1]!tblActvChurn[POINTS],[1]!tblActvChurn[MONTH],DATE(YEAR(AR$21),MONTH(AR$21),1),[1]!tblActvChurn[AM],$AM28,[1]!tblActvChurn[KPI],$AQ$20),"")</f>
        <v>#VALUE!</v>
      </c>
      <c r="AS28" s="81" t="e">
        <f>-IFERROR(SUMIFS([1]!tblActvChurn[POINTS],[1]!tblActvChurn[MONTH],DATE(YEAR(AS$21),MONTH(AS$21),1),[1]!tblActvChurn[AM],$AM28,[1]!tblActvChurn[KPI],$AQ$20),"")</f>
        <v>#VALUE!</v>
      </c>
      <c r="AT28" s="80" t="str">
        <f>IFERROR(SUMIFS([1]!tblActvChurn[POINTS],[1]!tblActvChurn[MONTH],DATE(YEAR(AT$21),MONTH(AT$21),1),[1]!tblActvChurn[AM],$AM28,[1]!tblActvChurn[KPI],$AT$20),"")</f>
        <v/>
      </c>
      <c r="AU28" s="51" t="str">
        <f>IFERROR(SUMIFS([1]!tblActvChurn[POINTS],[1]!tblActvChurn[MONTH],DATE(YEAR(AU$21),MONTH(AU$21),1),[1]!tblActvChurn[AM],$AM28,[1]!tblActvChurn[KPI],$AT$20),"")</f>
        <v/>
      </c>
      <c r="AV28" s="81" t="str">
        <f>IFERROR(SUMIFS([1]!tblActvChurn[POINTS],[1]!tblActvChurn[MONTH],DATE(YEAR(AV$21),MONTH(AV$21),1),[1]!tblActvChurn[AM],$AM28,[1]!tblActvChurn[KPI],$AT$20),"")</f>
        <v/>
      </c>
      <c r="AW28" s="80" t="e">
        <f>SUMIFS([1]!tblFixedNetMRC[NET_MRC],[1]!tblFixedNetMRC[MONTH],AW$21,[1]!tblFixedNetMRC[KPI],$AW$20,[1]!tblFixedNetMRC[ACCOUNT_MANAGER],$AM28)</f>
        <v>#REF!</v>
      </c>
      <c r="AX28" s="51" t="e">
        <f>SUMIFS([1]!tblFixedNetMRC[NET_MRC],[1]!tblFixedNetMRC[MONTH],AX$21,[1]!tblFixedNetMRC[KPI],$AW$20,[1]!tblFixedNetMRC[ACCOUNT_MANAGER],$AM28)</f>
        <v>#REF!</v>
      </c>
      <c r="AY28" s="81" t="e">
        <f>SUMIFS([1]!tblFixedNetMRC[NET_MRC],[1]!tblFixedNetMRC[MONTH],AY$21,[1]!tblFixedNetMRC[KPI],$AW$20,[1]!tblFixedNetMRC[ACCOUNT_MANAGER],$AM28)</f>
        <v>#REF!</v>
      </c>
      <c r="AZ28" s="80" t="e">
        <f>SUMIFS([1]!tblFixedNetMRC[NET_MRC],[1]!tblFixedNetMRC[MONTH],AZ$21,[1]!tblFixedNetMRC[KPI],$AZ$20,[1]!tblFixedNetMRC[ACCOUNT_MANAGER],$AM28)</f>
        <v>#REF!</v>
      </c>
      <c r="BA28" s="51" t="e">
        <f>SUMIFS([1]!tblFixedNetMRC[NET_MRC],[1]!tblFixedNetMRC[MONTH],BA$21,[1]!tblFixedNetMRC[KPI],$AZ$20,[1]!tblFixedNetMRC[ACCOUNT_MANAGER],$AM28)</f>
        <v>#REF!</v>
      </c>
      <c r="BB28" s="81" t="e">
        <f>SUMIFS([1]!tblFixedNetMRC[NET_MRC],[1]!tblFixedNetMRC[MONTH],BB$21,[1]!tblFixedNetMRC[KPI],$AZ$20,[1]!tblFixedNetMRC[ACCOUNT_MANAGER],$AM28)</f>
        <v>#REF!</v>
      </c>
      <c r="BC28" s="80" t="e">
        <f>SUMIFS([1]!tblFixedNetMRC[NET_MRC],[1]!tblFixedNetMRC[MONTH],BC$21,[1]!tblFixedNetMRC[KPI],$BC$20,[1]!tblFixedNetMRC[ACCOUNT_MANAGER],$AM28)</f>
        <v>#REF!</v>
      </c>
      <c r="BD28" s="51" t="e">
        <f>SUMIFS([1]!tblFixedNetMRC[NET_MRC],[1]!tblFixedNetMRC[MONTH],BD$21,[1]!tblFixedNetMRC[KPI],$BC$20,[1]!tblFixedNetMRC[ACCOUNT_MANAGER],$AM28)</f>
        <v>#REF!</v>
      </c>
      <c r="BE28" s="81" t="e">
        <f>SUMIFS([1]!tblFixedNetMRC[NET_MRC],[1]!tblFixedNetMRC[MONTH],BE$21,[1]!tblFixedNetMRC[KPI],$BC$20,[1]!tblFixedNetMRC[ACCOUNT_MANAGER],$AM28)</f>
        <v>#REF!</v>
      </c>
      <c r="BF28" s="80" t="str">
        <f>IFERROR(SUMIFS([1]!tblActvChurn[POINTS],[1]!tblActvChurn[MONTH],DATE(YEAR(BF$21),MONTH(BF$21),1),[1]!tblActvChurn[AM],$AM28,[1]!tblActvChurn[KPI],$BF$20),"")</f>
        <v/>
      </c>
      <c r="BG28" s="51" t="str">
        <f>IFERROR(SUMIFS([1]!tblActvChurn[POINTS],[1]!tblActvChurn[MONTH],DATE(YEAR(BG$21),MONTH(BG$21),1),[1]!tblActvChurn[AM],$AM28,[1]!tblActvChurn[KPI],$BF$20),"")</f>
        <v/>
      </c>
      <c r="BH28" s="81" t="str">
        <f>IFERROR(SUMIFS([1]!tblActvChurn[POINTS],[1]!tblActvChurn[MONTH],DATE(YEAR(BH$21),MONTH(BH$21),1),[1]!tblActvChurn[AM],$AM28,[1]!tblActvChurn[KPI],$BF$20),"")</f>
        <v/>
      </c>
      <c r="BI28" s="80" t="str">
        <f>IFERROR(SUMIFS([1]!tblActvChurn[POINTS],[1]!tblActvChurn[MONTH],DATE(YEAR(BI$21),MONTH(BI$21),1),[1]!tblActvChurn[AM],$AM28,[1]!tblActvChurn[KPI],$BI$20),"")</f>
        <v/>
      </c>
      <c r="BJ28" s="51" t="str">
        <f>IFERROR(SUMIFS([1]!tblActvChurn[POINTS],[1]!tblActvChurn[MONTH],DATE(YEAR(BJ$21),MONTH(BJ$21),1),[1]!tblActvChurn[AM],$AM28,[1]!tblActvChurn[KPI],$BI$20),"")</f>
        <v/>
      </c>
      <c r="BK28" s="81" t="str">
        <f>IFERROR(SUMIFS([1]!tblActvChurn[POINTS],[1]!tblActvChurn[MONTH],DATE(YEAR(BK$21),MONTH(BK$21),1),[1]!tblActvChurn[AM],$AM28,[1]!tblActvChurn[KPI],$BI$20),"")</f>
        <v/>
      </c>
      <c r="BM28" s="41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F28" s="52"/>
      <c r="CG28" s="40"/>
    </row>
    <row r="29" spans="1:85">
      <c r="A29" s="79" t="s">
        <v>16</v>
      </c>
      <c r="B29" s="5" t="str">
        <f t="shared" si="8"/>
        <v/>
      </c>
      <c r="C29" s="5" t="str">
        <f t="shared" si="8"/>
        <v/>
      </c>
      <c r="D29" s="5"/>
      <c r="E29" s="6" t="e">
        <f>SUMIFS('[1]Staff Targets'!$G:$G,'[1]Staff Targets'!A:A,$E$21,'[1]Staff Targets'!$B:$B,$A29)</f>
        <v>#VALUE!</v>
      </c>
      <c r="F29" s="9">
        <f t="shared" si="9"/>
        <v>0</v>
      </c>
      <c r="G29" s="7" t="e">
        <f t="shared" si="10"/>
        <v>#VALUE!</v>
      </c>
      <c r="H29" s="5" t="e">
        <f t="shared" si="10"/>
        <v>#VALUE!</v>
      </c>
      <c r="I29" s="5"/>
      <c r="J29" s="6" t="e">
        <f>SUMIFS('[1]Staff Targets'!$H:$H,'[1]Staff Targets'!A:A,$J$21,'[1]Staff Targets'!$B:$B,$A29)</f>
        <v>#VALUE!</v>
      </c>
      <c r="K29" s="9">
        <f t="shared" si="11"/>
        <v>0</v>
      </c>
      <c r="L29" s="7" t="e">
        <f t="shared" si="13"/>
        <v>#REF!</v>
      </c>
      <c r="M29" s="5" t="e">
        <f t="shared" si="13"/>
        <v>#REF!</v>
      </c>
      <c r="N29" s="6"/>
      <c r="O29" s="6" t="e">
        <f>SUMIFS('[1]Staff Targets'!$I:$I,'[1]Staff Targets'!A:A,$J$21,'[1]Staff Targets'!$B:$B,$A29)</f>
        <v>#VALUE!</v>
      </c>
      <c r="P29" s="4">
        <f t="shared" si="14"/>
        <v>0</v>
      </c>
      <c r="Q29" s="8" t="e">
        <f>SUMIFS([1]!REV[Rev],[1]!REV[MONTH],$Q$21,[1]!REV[AM_NAME],$A29)</f>
        <v>#REF!</v>
      </c>
      <c r="R29" s="6" t="e">
        <f>SUMIFS([1]!REV[Rev],[1]!REV[MONTH],$R$21,[1]!REV[AM_NAME],$A29)</f>
        <v>#REF!</v>
      </c>
      <c r="S29" s="6"/>
      <c r="T29" s="6" t="e">
        <f>SUMIFS('[1]Staff Targets'!$J:$J,'[1]Staff Targets'!A:A,$J$21,'[1]Staff Targets'!$B:$B,$A29)</f>
        <v>#VALUE!</v>
      </c>
      <c r="U29" s="4">
        <f t="shared" si="15"/>
        <v>0</v>
      </c>
      <c r="V29" s="5" t="e">
        <f>SUMIFS([1]!tbl_DDOS[MRC],[1]!tbl_DDOS[month2],V$21,[1]!tbl_DDOS[AM],$A29)</f>
        <v>#REF!</v>
      </c>
      <c r="W29" s="5" t="e">
        <f>SUMIFS([1]!tbl_DDOS[MRC],[1]!tbl_DDOS[month2],W$21,[1]!tbl_DDOS[AM],$A29)</f>
        <v>#REF!</v>
      </c>
      <c r="X29" s="6"/>
      <c r="Y29" s="6" t="e">
        <f>SUMIFS('[1]Staff Targets'!$K:$K,'[1]Staff Targets'!A:A,$J$21,'[1]Staff Targets'!$B:$B,$A29)</f>
        <v>#VALUE!</v>
      </c>
      <c r="Z29" s="4">
        <f t="shared" si="16"/>
        <v>0</v>
      </c>
      <c r="AB29" s="73"/>
      <c r="AC29" s="74"/>
      <c r="AD29" s="52"/>
      <c r="AE29" s="74"/>
      <c r="AG29" s="73">
        <f>VLOOKUP(A29,[2]Disciplinary!B$31:AG$40,32,0)</f>
        <v>0</v>
      </c>
      <c r="AH29" s="74">
        <f t="shared" si="17"/>
        <v>0</v>
      </c>
      <c r="AJ29" s="27"/>
      <c r="AM29" s="75" t="str">
        <f t="shared" si="6"/>
        <v>Mohamad Labban</v>
      </c>
      <c r="AN29" s="80" t="str">
        <f>IFERROR(SUMIFS([1]!tblActvChurn[POINTS],[1]!tblActvChurn[MONTH],DATE(YEAR(AN$21),MONTH(AN$21),1),[1]!tblActvChurn[AM],$AM29,[1]!tblActvChurn[KPI],$AN$20),"")</f>
        <v/>
      </c>
      <c r="AO29" s="51" t="str">
        <f>IFERROR(SUMIFS([1]!tblActvChurn[POINTS],[1]!tblActvChurn[MONTH],DATE(YEAR(AO$21),MONTH(AO$21),1),[1]!tblActvChurn[AM],$AM29,[1]!tblActvChurn[KPI],$AN$20),"")</f>
        <v/>
      </c>
      <c r="AP29" s="81" t="str">
        <f>IFERROR(SUMIFS([1]!tblActvChurn[POINTS],[1]!tblActvChurn[MONTH],DATE(YEAR(AP$21),MONTH(AP$21),1),[1]!tblActvChurn[AM],$AM29,[1]!tblActvChurn[KPI],$AN$20),"")</f>
        <v/>
      </c>
      <c r="AQ29" s="80" t="e">
        <f>-IFERROR(SUMIFS([1]!tblActvChurn[POINTS],[1]!tblActvChurn[MONTH],DATE(YEAR(AQ$21),MONTH(AQ$21),1),[1]!tblActvChurn[AM],$AM29,[1]!tblActvChurn[KPI],$AQ$20),"")</f>
        <v>#VALUE!</v>
      </c>
      <c r="AR29" s="51" t="e">
        <f>-IFERROR(SUMIFS([1]!tblActvChurn[POINTS],[1]!tblActvChurn[MONTH],DATE(YEAR(AR$21),MONTH(AR$21),1),[1]!tblActvChurn[AM],$AM29,[1]!tblActvChurn[KPI],$AQ$20),"")</f>
        <v>#VALUE!</v>
      </c>
      <c r="AS29" s="81" t="e">
        <f>-IFERROR(SUMIFS([1]!tblActvChurn[POINTS],[1]!tblActvChurn[MONTH],DATE(YEAR(AS$21),MONTH(AS$21),1),[1]!tblActvChurn[AM],$AM29,[1]!tblActvChurn[KPI],$AQ$20),"")</f>
        <v>#VALUE!</v>
      </c>
      <c r="AT29" s="80" t="str">
        <f>IFERROR(SUMIFS([1]!tblActvChurn[POINTS],[1]!tblActvChurn[MONTH],DATE(YEAR(AT$21),MONTH(AT$21),1),[1]!tblActvChurn[AM],$AM29,[1]!tblActvChurn[KPI],$AT$20),"")</f>
        <v/>
      </c>
      <c r="AU29" s="51" t="str">
        <f>IFERROR(SUMIFS([1]!tblActvChurn[POINTS],[1]!tblActvChurn[MONTH],DATE(YEAR(AU$21),MONTH(AU$21),1),[1]!tblActvChurn[AM],$AM29,[1]!tblActvChurn[KPI],$AT$20),"")</f>
        <v/>
      </c>
      <c r="AV29" s="81" t="str">
        <f>IFERROR(SUMIFS([1]!tblActvChurn[POINTS],[1]!tblActvChurn[MONTH],DATE(YEAR(AV$21),MONTH(AV$21),1),[1]!tblActvChurn[AM],$AM29,[1]!tblActvChurn[KPI],$AT$20),"")</f>
        <v/>
      </c>
      <c r="AW29" s="80" t="e">
        <f>SUMIFS([1]!tblFixedNetMRC[NET_MRC],[1]!tblFixedNetMRC[MONTH],AW$21,[1]!tblFixedNetMRC[KPI],$AW$20,[1]!tblFixedNetMRC[ACCOUNT_MANAGER],$AM29)</f>
        <v>#REF!</v>
      </c>
      <c r="AX29" s="51" t="e">
        <f>SUMIFS([1]!tblFixedNetMRC[NET_MRC],[1]!tblFixedNetMRC[MONTH],AX$21,[1]!tblFixedNetMRC[KPI],$AW$20,[1]!tblFixedNetMRC[ACCOUNT_MANAGER],$AM29)</f>
        <v>#REF!</v>
      </c>
      <c r="AY29" s="81" t="e">
        <f>SUMIFS([1]!tblFixedNetMRC[NET_MRC],[1]!tblFixedNetMRC[MONTH],AY$21,[1]!tblFixedNetMRC[KPI],$AW$20,[1]!tblFixedNetMRC[ACCOUNT_MANAGER],$AM29)</f>
        <v>#REF!</v>
      </c>
      <c r="AZ29" s="80" t="e">
        <f>SUMIFS([1]!tblFixedNetMRC[NET_MRC],[1]!tblFixedNetMRC[MONTH],AZ$21,[1]!tblFixedNetMRC[KPI],$AZ$20,[1]!tblFixedNetMRC[ACCOUNT_MANAGER],$AM29)</f>
        <v>#REF!</v>
      </c>
      <c r="BA29" s="51" t="e">
        <f>SUMIFS([1]!tblFixedNetMRC[NET_MRC],[1]!tblFixedNetMRC[MONTH],BA$21,[1]!tblFixedNetMRC[KPI],$AZ$20,[1]!tblFixedNetMRC[ACCOUNT_MANAGER],$AM29)</f>
        <v>#REF!</v>
      </c>
      <c r="BB29" s="81" t="e">
        <f>SUMIFS([1]!tblFixedNetMRC[NET_MRC],[1]!tblFixedNetMRC[MONTH],BB$21,[1]!tblFixedNetMRC[KPI],$AZ$20,[1]!tblFixedNetMRC[ACCOUNT_MANAGER],$AM29)</f>
        <v>#REF!</v>
      </c>
      <c r="BC29" s="80" t="e">
        <f>SUMIFS([1]!tblFixedNetMRC[NET_MRC],[1]!tblFixedNetMRC[MONTH],BC$21,[1]!tblFixedNetMRC[KPI],$BC$20,[1]!tblFixedNetMRC[ACCOUNT_MANAGER],$AM29)</f>
        <v>#REF!</v>
      </c>
      <c r="BD29" s="51" t="e">
        <f>SUMIFS([1]!tblFixedNetMRC[NET_MRC],[1]!tblFixedNetMRC[MONTH],BD$21,[1]!tblFixedNetMRC[KPI],$BC$20,[1]!tblFixedNetMRC[ACCOUNT_MANAGER],$AM29)</f>
        <v>#REF!</v>
      </c>
      <c r="BE29" s="81" t="e">
        <f>SUMIFS([1]!tblFixedNetMRC[NET_MRC],[1]!tblFixedNetMRC[MONTH],BE$21,[1]!tblFixedNetMRC[KPI],$BC$20,[1]!tblFixedNetMRC[ACCOUNT_MANAGER],$AM29)</f>
        <v>#REF!</v>
      </c>
      <c r="BF29" s="80" t="str">
        <f>IFERROR(SUMIFS([1]!tblActvChurn[POINTS],[1]!tblActvChurn[MONTH],DATE(YEAR(BF$21),MONTH(BF$21),1),[1]!tblActvChurn[AM],$AM29,[1]!tblActvChurn[KPI],$BF$20),"")</f>
        <v/>
      </c>
      <c r="BG29" s="51" t="str">
        <f>IFERROR(SUMIFS([1]!tblActvChurn[POINTS],[1]!tblActvChurn[MONTH],DATE(YEAR(BG$21),MONTH(BG$21),1),[1]!tblActvChurn[AM],$AM29,[1]!tblActvChurn[KPI],$BF$20),"")</f>
        <v/>
      </c>
      <c r="BH29" s="81" t="str">
        <f>IFERROR(SUMIFS([1]!tblActvChurn[POINTS],[1]!tblActvChurn[MONTH],DATE(YEAR(BH$21),MONTH(BH$21),1),[1]!tblActvChurn[AM],$AM29,[1]!tblActvChurn[KPI],$BF$20),"")</f>
        <v/>
      </c>
      <c r="BI29" s="80" t="str">
        <f>IFERROR(SUMIFS([1]!tblActvChurn[POINTS],[1]!tblActvChurn[MONTH],DATE(YEAR(BI$21),MONTH(BI$21),1),[1]!tblActvChurn[AM],$AM29,[1]!tblActvChurn[KPI],$BI$20),"")</f>
        <v/>
      </c>
      <c r="BJ29" s="51" t="str">
        <f>IFERROR(SUMIFS([1]!tblActvChurn[POINTS],[1]!tblActvChurn[MONTH],DATE(YEAR(BJ$21),MONTH(BJ$21),1),[1]!tblActvChurn[AM],$AM29,[1]!tblActvChurn[KPI],$BI$20),"")</f>
        <v/>
      </c>
      <c r="BK29" s="81" t="str">
        <f>IFERROR(SUMIFS([1]!tblActvChurn[POINTS],[1]!tblActvChurn[MONTH],DATE(YEAR(BK$21),MONTH(BK$21),1),[1]!tblActvChurn[AM],$AM29,[1]!tblActvChurn[KPI],$BI$20),"")</f>
        <v/>
      </c>
      <c r="BM29" s="41"/>
      <c r="BO29" s="22" t="s">
        <v>29</v>
      </c>
      <c r="BP29" s="121" t="s">
        <v>20</v>
      </c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F29" s="52"/>
      <c r="CG29" s="40"/>
    </row>
    <row r="30" spans="1:85" ht="14.4" thickBot="1">
      <c r="A30" s="84" t="s">
        <v>17</v>
      </c>
      <c r="B30" s="10" t="str">
        <f t="shared" si="8"/>
        <v/>
      </c>
      <c r="C30" s="10" t="str">
        <f t="shared" si="8"/>
        <v/>
      </c>
      <c r="D30" s="10"/>
      <c r="E30" s="11" t="e">
        <f>SUMIFS('[1]Staff Targets'!$G:$G,'[1]Staff Targets'!A:A,$E$21,'[1]Staff Targets'!$B:$B,$A30)</f>
        <v>#VALUE!</v>
      </c>
      <c r="F30" s="12">
        <f t="shared" si="9"/>
        <v>0</v>
      </c>
      <c r="G30" s="13" t="e">
        <f t="shared" si="10"/>
        <v>#VALUE!</v>
      </c>
      <c r="H30" s="10" t="e">
        <f t="shared" si="10"/>
        <v>#VALUE!</v>
      </c>
      <c r="I30" s="10"/>
      <c r="J30" s="11" t="e">
        <f>SUMIFS('[1]Staff Targets'!$H:$H,'[1]Staff Targets'!A:A,$J$21,'[1]Staff Targets'!$B:$B,$A30)</f>
        <v>#VALUE!</v>
      </c>
      <c r="K30" s="12">
        <f t="shared" si="11"/>
        <v>0</v>
      </c>
      <c r="L30" s="13" t="e">
        <f t="shared" si="13"/>
        <v>#REF!</v>
      </c>
      <c r="M30" s="10" t="e">
        <f t="shared" si="13"/>
        <v>#REF!</v>
      </c>
      <c r="N30" s="11"/>
      <c r="O30" s="11" t="e">
        <f>SUMIFS('[1]Staff Targets'!$I:$I,'[1]Staff Targets'!A:A,$J$21,'[1]Staff Targets'!$B:$B,$A30)</f>
        <v>#VALUE!</v>
      </c>
      <c r="P30" s="14">
        <f t="shared" si="14"/>
        <v>0</v>
      </c>
      <c r="Q30" s="15" t="e">
        <f>SUMIFS([1]!REV[Rev],[1]!REV[MONTH],$Q$21,[1]!REV[AM_NAME],$A30)</f>
        <v>#REF!</v>
      </c>
      <c r="R30" s="11" t="e">
        <f>SUMIFS([1]!REV[Rev],[1]!REV[MONTH],$R$21,[1]!REV[AM_NAME],$A30)</f>
        <v>#REF!</v>
      </c>
      <c r="S30" s="11"/>
      <c r="T30" s="11" t="e">
        <f>SUMIFS('[1]Staff Targets'!$J:$J,'[1]Staff Targets'!A:A,$J$21,'[1]Staff Targets'!$B:$B,$A30)</f>
        <v>#VALUE!</v>
      </c>
      <c r="U30" s="14">
        <f t="shared" si="15"/>
        <v>0</v>
      </c>
      <c r="V30" s="10" t="e">
        <f>SUMIFS([1]!tbl_DDOS[MRC],[1]!tbl_DDOS[month2],V$21,[1]!tbl_DDOS[AM],$A30)</f>
        <v>#REF!</v>
      </c>
      <c r="W30" s="10" t="e">
        <f>SUMIFS([1]!tbl_DDOS[MRC],[1]!tbl_DDOS[month2],W$21,[1]!tbl_DDOS[AM],$A30)</f>
        <v>#REF!</v>
      </c>
      <c r="X30" s="11"/>
      <c r="Y30" s="11" t="e">
        <f>SUMIFS('[1]Staff Targets'!$K:$K,'[1]Staff Targets'!A:A,$J$21,'[1]Staff Targets'!$B:$B,$A30)</f>
        <v>#VALUE!</v>
      </c>
      <c r="Z30" s="14">
        <f t="shared" si="16"/>
        <v>0</v>
      </c>
      <c r="AB30" s="73"/>
      <c r="AC30" s="74"/>
      <c r="AD30" s="52"/>
      <c r="AE30" s="74"/>
      <c r="AG30" s="73">
        <f>VLOOKUP(A30,[2]Disciplinary!B$31:AG$40,32,0)</f>
        <v>0</v>
      </c>
      <c r="AH30" s="74">
        <f t="shared" si="17"/>
        <v>0</v>
      </c>
      <c r="AJ30" s="27"/>
      <c r="AM30" s="75" t="str">
        <f t="shared" si="6"/>
        <v>Nadeem Rasheed</v>
      </c>
      <c r="AN30" s="80" t="str">
        <f>IFERROR(SUMIFS([1]!tblActvChurn[POINTS],[1]!tblActvChurn[MONTH],DATE(YEAR(AN$21),MONTH(AN$21),1),[1]!tblActvChurn[AM],$AM30,[1]!tblActvChurn[KPI],$AN$20),"")</f>
        <v/>
      </c>
      <c r="AO30" s="51" t="str">
        <f>IFERROR(SUMIFS([1]!tblActvChurn[POINTS],[1]!tblActvChurn[MONTH],DATE(YEAR(AO$21),MONTH(AO$21),1),[1]!tblActvChurn[AM],$AM30,[1]!tblActvChurn[KPI],$AN$20),"")</f>
        <v/>
      </c>
      <c r="AP30" s="81" t="str">
        <f>IFERROR(SUMIFS([1]!tblActvChurn[POINTS],[1]!tblActvChurn[MONTH],DATE(YEAR(AP$21),MONTH(AP$21),1),[1]!tblActvChurn[AM],$AM30,[1]!tblActvChurn[KPI],$AN$20),"")</f>
        <v/>
      </c>
      <c r="AQ30" s="80" t="e">
        <f>-IFERROR(SUMIFS([1]!tblActvChurn[POINTS],[1]!tblActvChurn[MONTH],DATE(YEAR(AQ$21),MONTH(AQ$21),1),[1]!tblActvChurn[AM],$AM30,[1]!tblActvChurn[KPI],$AQ$20),"")</f>
        <v>#VALUE!</v>
      </c>
      <c r="AR30" s="51" t="e">
        <f>-IFERROR(SUMIFS([1]!tblActvChurn[POINTS],[1]!tblActvChurn[MONTH],DATE(YEAR(AR$21),MONTH(AR$21),1),[1]!tblActvChurn[AM],$AM30,[1]!tblActvChurn[KPI],$AQ$20),"")</f>
        <v>#VALUE!</v>
      </c>
      <c r="AS30" s="81" t="e">
        <f>-IFERROR(SUMIFS([1]!tblActvChurn[POINTS],[1]!tblActvChurn[MONTH],DATE(YEAR(AS$21),MONTH(AS$21),1),[1]!tblActvChurn[AM],$AM30,[1]!tblActvChurn[KPI],$AQ$20),"")</f>
        <v>#VALUE!</v>
      </c>
      <c r="AT30" s="80" t="str">
        <f>IFERROR(SUMIFS([1]!tblActvChurn[POINTS],[1]!tblActvChurn[MONTH],DATE(YEAR(AT$21),MONTH(AT$21),1),[1]!tblActvChurn[AM],$AM30,[1]!tblActvChurn[KPI],$AT$20),"")</f>
        <v/>
      </c>
      <c r="AU30" s="51" t="str">
        <f>IFERROR(SUMIFS([1]!tblActvChurn[POINTS],[1]!tblActvChurn[MONTH],DATE(YEAR(AU$21),MONTH(AU$21),1),[1]!tblActvChurn[AM],$AM30,[1]!tblActvChurn[KPI],$AT$20),"")</f>
        <v/>
      </c>
      <c r="AV30" s="81" t="str">
        <f>IFERROR(SUMIFS([1]!tblActvChurn[POINTS],[1]!tblActvChurn[MONTH],DATE(YEAR(AV$21),MONTH(AV$21),1),[1]!tblActvChurn[AM],$AM30,[1]!tblActvChurn[KPI],$AT$20),"")</f>
        <v/>
      </c>
      <c r="AW30" s="80" t="e">
        <f>SUMIFS([1]!tblFixedNetMRC[NET_MRC],[1]!tblFixedNetMRC[MONTH],AW$21,[1]!tblFixedNetMRC[KPI],$AW$20,[1]!tblFixedNetMRC[ACCOUNT_MANAGER],$AM30)</f>
        <v>#REF!</v>
      </c>
      <c r="AX30" s="51" t="e">
        <f>SUMIFS([1]!tblFixedNetMRC[NET_MRC],[1]!tblFixedNetMRC[MONTH],AX$21,[1]!tblFixedNetMRC[KPI],$AW$20,[1]!tblFixedNetMRC[ACCOUNT_MANAGER],$AM30)</f>
        <v>#REF!</v>
      </c>
      <c r="AY30" s="81" t="e">
        <f>SUMIFS([1]!tblFixedNetMRC[NET_MRC],[1]!tblFixedNetMRC[MONTH],AY$21,[1]!tblFixedNetMRC[KPI],$AW$20,[1]!tblFixedNetMRC[ACCOUNT_MANAGER],$AM30)</f>
        <v>#REF!</v>
      </c>
      <c r="AZ30" s="80" t="e">
        <f>SUMIFS([1]!tblFixedNetMRC[NET_MRC],[1]!tblFixedNetMRC[MONTH],AZ$21,[1]!tblFixedNetMRC[KPI],$AZ$20,[1]!tblFixedNetMRC[ACCOUNT_MANAGER],$AM30)</f>
        <v>#REF!</v>
      </c>
      <c r="BA30" s="51" t="e">
        <f>SUMIFS([1]!tblFixedNetMRC[NET_MRC],[1]!tblFixedNetMRC[MONTH],BA$21,[1]!tblFixedNetMRC[KPI],$AZ$20,[1]!tblFixedNetMRC[ACCOUNT_MANAGER],$AM30)</f>
        <v>#REF!</v>
      </c>
      <c r="BB30" s="81" t="e">
        <f>SUMIFS([1]!tblFixedNetMRC[NET_MRC],[1]!tblFixedNetMRC[MONTH],BB$21,[1]!tblFixedNetMRC[KPI],$AZ$20,[1]!tblFixedNetMRC[ACCOUNT_MANAGER],$AM30)</f>
        <v>#REF!</v>
      </c>
      <c r="BC30" s="80" t="e">
        <f>SUMIFS([1]!tblFixedNetMRC[NET_MRC],[1]!tblFixedNetMRC[MONTH],BC$21,[1]!tblFixedNetMRC[KPI],$BC$20,[1]!tblFixedNetMRC[ACCOUNT_MANAGER],$AM30)</f>
        <v>#REF!</v>
      </c>
      <c r="BD30" s="51" t="e">
        <f>SUMIFS([1]!tblFixedNetMRC[NET_MRC],[1]!tblFixedNetMRC[MONTH],BD$21,[1]!tblFixedNetMRC[KPI],$BC$20,[1]!tblFixedNetMRC[ACCOUNT_MANAGER],$AM30)</f>
        <v>#REF!</v>
      </c>
      <c r="BE30" s="81" t="e">
        <f>SUMIFS([1]!tblFixedNetMRC[NET_MRC],[1]!tblFixedNetMRC[MONTH],BE$21,[1]!tblFixedNetMRC[KPI],$BC$20,[1]!tblFixedNetMRC[ACCOUNT_MANAGER],$AM30)</f>
        <v>#REF!</v>
      </c>
      <c r="BF30" s="80" t="str">
        <f>IFERROR(SUMIFS([1]!tblActvChurn[POINTS],[1]!tblActvChurn[MONTH],DATE(YEAR(BF$21),MONTH(BF$21),1),[1]!tblActvChurn[AM],$AM30,[1]!tblActvChurn[KPI],$BF$20),"")</f>
        <v/>
      </c>
      <c r="BG30" s="51" t="str">
        <f>IFERROR(SUMIFS([1]!tblActvChurn[POINTS],[1]!tblActvChurn[MONTH],DATE(YEAR(BG$21),MONTH(BG$21),1),[1]!tblActvChurn[AM],$AM30,[1]!tblActvChurn[KPI],$BF$20),"")</f>
        <v/>
      </c>
      <c r="BH30" s="81" t="str">
        <f>IFERROR(SUMIFS([1]!tblActvChurn[POINTS],[1]!tblActvChurn[MONTH],DATE(YEAR(BH$21),MONTH(BH$21),1),[1]!tblActvChurn[AM],$AM30,[1]!tblActvChurn[KPI],$BF$20),"")</f>
        <v/>
      </c>
      <c r="BI30" s="80" t="str">
        <f>IFERROR(SUMIFS([1]!tblActvChurn[POINTS],[1]!tblActvChurn[MONTH],DATE(YEAR(BI$21),MONTH(BI$21),1),[1]!tblActvChurn[AM],$AM30,[1]!tblActvChurn[KPI],$BI$20),"")</f>
        <v/>
      </c>
      <c r="BJ30" s="51" t="str">
        <f>IFERROR(SUMIFS([1]!tblActvChurn[POINTS],[1]!tblActvChurn[MONTH],DATE(YEAR(BJ$21),MONTH(BJ$21),1),[1]!tblActvChurn[AM],$AM30,[1]!tblActvChurn[KPI],$BI$20),"")</f>
        <v/>
      </c>
      <c r="BK30" s="81" t="str">
        <f>IFERROR(SUMIFS([1]!tblActvChurn[POINTS],[1]!tblActvChurn[MONTH],DATE(YEAR(BK$21),MONTH(BK$21),1),[1]!tblActvChurn[AM],$AM30,[1]!tblActvChurn[KPI],$BI$20),"")</f>
        <v/>
      </c>
      <c r="BM30" s="41"/>
      <c r="BO30" s="46" t="str">
        <f>BO10</f>
        <v>KEY-B</v>
      </c>
      <c r="BP30" s="47" t="s">
        <v>31</v>
      </c>
      <c r="BQ30" s="47"/>
      <c r="BR30" s="47"/>
      <c r="BS30" s="47" t="s">
        <v>32</v>
      </c>
      <c r="BT30" s="47"/>
      <c r="BU30" s="47"/>
      <c r="BV30" s="47" t="s">
        <v>33</v>
      </c>
      <c r="BW30" s="47"/>
      <c r="BX30" s="47"/>
      <c r="BY30" s="47" t="s">
        <v>34</v>
      </c>
      <c r="BZ30" s="47"/>
      <c r="CA30" s="47"/>
      <c r="CF30" s="52"/>
      <c r="CG30" s="40"/>
    </row>
    <row r="31" spans="1:85" ht="14.4" thickTop="1">
      <c r="Z31" s="73"/>
      <c r="AE31" s="27"/>
      <c r="AH31" s="85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I31" s="52"/>
      <c r="BJ31" s="52"/>
      <c r="BM31" s="41"/>
      <c r="BO31" s="48"/>
      <c r="BP31" s="87" t="s">
        <v>35</v>
      </c>
      <c r="BQ31" s="88" t="s">
        <v>36</v>
      </c>
      <c r="BR31" s="88" t="s">
        <v>37</v>
      </c>
      <c r="BS31" s="88" t="s">
        <v>35</v>
      </c>
      <c r="BT31" s="88" t="s">
        <v>36</v>
      </c>
      <c r="BU31" s="88" t="s">
        <v>37</v>
      </c>
      <c r="BV31" s="88" t="s">
        <v>35</v>
      </c>
      <c r="BW31" s="88" t="s">
        <v>36</v>
      </c>
      <c r="BX31" s="88" t="s">
        <v>37</v>
      </c>
      <c r="BY31" s="88"/>
      <c r="BZ31" s="88"/>
      <c r="CA31" s="88"/>
      <c r="CB31" s="52"/>
      <c r="CG31" s="40"/>
    </row>
    <row r="32" spans="1:85">
      <c r="A32" s="89" t="s">
        <v>39</v>
      </c>
      <c r="C32" s="89" t="s">
        <v>40</v>
      </c>
      <c r="AE32" s="27"/>
      <c r="AH32" s="85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M32" s="41"/>
      <c r="BO32" s="45" t="str">
        <f t="shared" ref="BO32:BO40" si="18">BO12</f>
        <v>Abdel Azim Sharabati</v>
      </c>
      <c r="BP32" s="51" t="e">
        <f>SUMIFS([1]!tblActvChurn[LINES],[1]!tblActvChurn[MONTH],DATE(YEAR($C$1),MONTH($C$1),1),[1]!tblActvChurn[KPI],$BP$29,[1]!tblActvChurn[VERTICAL],$BO$10,[1]!tblActvChurn[AM],$BO32,[1]!tblActvChurn[RATEPLAN_TYPE],$BP$10,[1]!tblActvChurn[PG_TYPE],BP$11)</f>
        <v>#REF!</v>
      </c>
      <c r="BQ32" s="51" t="e">
        <f>SUMIFS([1]!tblActvChurn[LINES],[1]!tblActvChurn[MONTH],DATE(YEAR($C$1),MONTH($C$1),1),[1]!tblActvChurn[KPI],$BP$29,[1]!tblActvChurn[VERTICAL],$BO$10,[1]!tblActvChurn[AM],$BO32,[1]!tblActvChurn[RATEPLAN_TYPE],$BP$10,[1]!tblActvChurn[PG_TYPE],BQ$11)</f>
        <v>#REF!</v>
      </c>
      <c r="BR32" s="51" t="e">
        <f t="shared" ref="BR32:BR40" si="19">SUM(BP32:BQ32)</f>
        <v>#REF!</v>
      </c>
      <c r="BS32" s="51" t="e">
        <f>SUMIFS([1]!tblActvChurn[LINES],[1]!tblActvChurn[MONTH],DATE(YEAR($C$1),MONTH($C$1),1),[1]!tblActvChurn[KPI],$BP$29,[1]!tblActvChurn[VERTICAL],$BO$10,[1]!tblActvChurn[AM],$BO32,[1]!tblActvChurn[RATEPLAN_TYPE],$BS$10,[1]!tblActvChurn[PG_TYPE],BS$11)</f>
        <v>#REF!</v>
      </c>
      <c r="BT32" s="51" t="e">
        <f>SUMIFS([1]!tblActvChurn[LINES],[1]!tblActvChurn[MONTH],DATE(YEAR($C$1),MONTH($C$1),1),[1]!tblActvChurn[KPI],$BP$29,[1]!tblActvChurn[VERTICAL],$BO$10,[1]!tblActvChurn[AM],$BO32,[1]!tblActvChurn[RATEPLAN_TYPE],$BS$10,[1]!tblActvChurn[PG_TYPE],BT$11)</f>
        <v>#REF!</v>
      </c>
      <c r="BU32" s="51" t="e">
        <f t="shared" ref="BU32:BU40" si="20">SUM(BS32:BT32)</f>
        <v>#REF!</v>
      </c>
      <c r="BV32" s="51" t="e">
        <f>SUMIFS([1]!tblActvChurn[LINES],[1]!tblActvChurn[MONTH],DATE(YEAR($C$1),MONTH($C$1),1),[1]!tblActvChurn[KPI],$BP$29,[1]!tblActvChurn[VERTICAL],$BO$10,[1]!tblActvChurn[AM],$BO32,[1]!tblActvChurn[RATEPLAN_TYPE],$BV$10,[1]!tblActvChurn[PG_TYPE],BV$11)</f>
        <v>#REF!</v>
      </c>
      <c r="BW32" s="51" t="e">
        <f>SUMIFS([1]!tblActvChurn[LINES],[1]!tblActvChurn[MONTH],DATE(YEAR($C$1),MONTH($C$1),1),[1]!tblActvChurn[KPI],$BP$29,[1]!tblActvChurn[VERTICAL],$BO$10,[1]!tblActvChurn[AM],$BO32,[1]!tblActvChurn[RATEPLAN_TYPE],$BV$10,[1]!tblActvChurn[PG_TYPE],BW$11)</f>
        <v>#REF!</v>
      </c>
      <c r="BX32" s="51" t="e">
        <f t="shared" ref="BX32:BX40" si="21">SUM(BV32:BW32)</f>
        <v>#REF!</v>
      </c>
      <c r="BY32" s="51" t="e">
        <f t="shared" ref="BY32:BY40" si="22">BP32+BS32+BV32</f>
        <v>#REF!</v>
      </c>
      <c r="BZ32" s="51" t="e">
        <f t="shared" ref="BZ32:BZ40" si="23">BQ32+BT32+BW32</f>
        <v>#REF!</v>
      </c>
      <c r="CA32" s="51" t="e">
        <f t="shared" ref="CA32:CA40" si="24">SUM(BY32:BZ32)</f>
        <v>#REF!</v>
      </c>
      <c r="CB32" s="52"/>
      <c r="CG32" s="40"/>
    </row>
    <row r="33" spans="1:85">
      <c r="A33" s="89"/>
      <c r="B33" s="90"/>
      <c r="C33" s="89"/>
      <c r="D33" s="90"/>
      <c r="AE33" s="27"/>
      <c r="AH33" s="85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M33" s="41"/>
      <c r="BO33" s="45" t="str">
        <f t="shared" si="18"/>
        <v>Abraham Cherian</v>
      </c>
      <c r="BP33" s="51" t="e">
        <f>SUMIFS([1]!tblActvChurn[LINES],[1]!tblActvChurn[MONTH],DATE(YEAR($C$1),MONTH($C$1),1),[1]!tblActvChurn[KPI],$BP$29,[1]!tblActvChurn[VERTICAL],$BO$10,[1]!tblActvChurn[AM],$BO33,[1]!tblActvChurn[RATEPLAN_TYPE],$BP$10,[1]!tblActvChurn[PG_TYPE],BP$11)</f>
        <v>#REF!</v>
      </c>
      <c r="BQ33" s="51" t="e">
        <f>SUMIFS([1]!tblActvChurn[LINES],[1]!tblActvChurn[MONTH],DATE(YEAR($C$1),MONTH($C$1),1),[1]!tblActvChurn[KPI],$BP$29,[1]!tblActvChurn[VERTICAL],$BO$10,[1]!tblActvChurn[AM],$BO33,[1]!tblActvChurn[RATEPLAN_TYPE],$BP$10,[1]!tblActvChurn[PG_TYPE],BQ$11)</f>
        <v>#REF!</v>
      </c>
      <c r="BR33" s="51" t="e">
        <f t="shared" si="19"/>
        <v>#REF!</v>
      </c>
      <c r="BS33" s="51" t="e">
        <f>SUMIFS([1]!tblActvChurn[LINES],[1]!tblActvChurn[MONTH],DATE(YEAR($C$1),MONTH($C$1),1),[1]!tblActvChurn[KPI],$BP$29,[1]!tblActvChurn[VERTICAL],$BO$10,[1]!tblActvChurn[AM],$BO33,[1]!tblActvChurn[RATEPLAN_TYPE],$BS$10,[1]!tblActvChurn[PG_TYPE],BS$11)</f>
        <v>#REF!</v>
      </c>
      <c r="BT33" s="51" t="e">
        <f>SUMIFS([1]!tblActvChurn[LINES],[1]!tblActvChurn[MONTH],DATE(YEAR($C$1),MONTH($C$1),1),[1]!tblActvChurn[KPI],$BP$29,[1]!tblActvChurn[VERTICAL],$BO$10,[1]!tblActvChurn[AM],$BO33,[1]!tblActvChurn[RATEPLAN_TYPE],$BS$10,[1]!tblActvChurn[PG_TYPE],BT$11)</f>
        <v>#REF!</v>
      </c>
      <c r="BU33" s="51" t="e">
        <f t="shared" si="20"/>
        <v>#REF!</v>
      </c>
      <c r="BV33" s="51" t="e">
        <f>SUMIFS([1]!tblActvChurn[LINES],[1]!tblActvChurn[MONTH],DATE(YEAR($C$1),MONTH($C$1),1),[1]!tblActvChurn[KPI],$BP$29,[1]!tblActvChurn[VERTICAL],$BO$10,[1]!tblActvChurn[AM],$BO33,[1]!tblActvChurn[RATEPLAN_TYPE],$BV$10,[1]!tblActvChurn[PG_TYPE],BV$11)</f>
        <v>#REF!</v>
      </c>
      <c r="BW33" s="51" t="e">
        <f>SUMIFS([1]!tblActvChurn[LINES],[1]!tblActvChurn[MONTH],DATE(YEAR($C$1),MONTH($C$1),1),[1]!tblActvChurn[KPI],$BP$29,[1]!tblActvChurn[VERTICAL],$BO$10,[1]!tblActvChurn[AM],$BO33,[1]!tblActvChurn[RATEPLAN_TYPE],$BV$10,[1]!tblActvChurn[PG_TYPE],BW$11)</f>
        <v>#REF!</v>
      </c>
      <c r="BX33" s="51" t="e">
        <f t="shared" si="21"/>
        <v>#REF!</v>
      </c>
      <c r="BY33" s="51" t="e">
        <f t="shared" si="22"/>
        <v>#REF!</v>
      </c>
      <c r="BZ33" s="51" t="e">
        <f t="shared" si="23"/>
        <v>#REF!</v>
      </c>
      <c r="CA33" s="51" t="e">
        <f t="shared" si="24"/>
        <v>#REF!</v>
      </c>
      <c r="CB33" s="52"/>
      <c r="CG33" s="40"/>
    </row>
    <row r="34" spans="1:85">
      <c r="A34" s="89"/>
      <c r="B34" s="90"/>
      <c r="C34" s="89"/>
      <c r="D34" s="90"/>
      <c r="AE34" s="27"/>
      <c r="AH34" s="85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6"/>
      <c r="BF34" s="86"/>
      <c r="BM34" s="41"/>
      <c r="BO34" s="45" t="str">
        <f t="shared" si="18"/>
        <v>Arjun Subaraman</v>
      </c>
      <c r="BP34" s="51" t="e">
        <f>SUMIFS([1]!tblActvChurn[LINES],[1]!tblActvChurn[MONTH],DATE(YEAR($C$1),MONTH($C$1),1),[1]!tblActvChurn[KPI],$BP$29,[1]!tblActvChurn[VERTICAL],$BO$10,[1]!tblActvChurn[AM],$BO34,[1]!tblActvChurn[RATEPLAN_TYPE],$BP$10,[1]!tblActvChurn[PG_TYPE],BP$11)</f>
        <v>#REF!</v>
      </c>
      <c r="BQ34" s="51" t="e">
        <f>SUMIFS([1]!tblActvChurn[LINES],[1]!tblActvChurn[MONTH],DATE(YEAR($C$1),MONTH($C$1),1),[1]!tblActvChurn[KPI],$BP$29,[1]!tblActvChurn[VERTICAL],$BO$10,[1]!tblActvChurn[AM],$BO34,[1]!tblActvChurn[RATEPLAN_TYPE],$BP$10,[1]!tblActvChurn[PG_TYPE],BQ$11)</f>
        <v>#REF!</v>
      </c>
      <c r="BR34" s="51" t="e">
        <f t="shared" si="19"/>
        <v>#REF!</v>
      </c>
      <c r="BS34" s="51" t="e">
        <f>SUMIFS([1]!tblActvChurn[LINES],[1]!tblActvChurn[MONTH],DATE(YEAR($C$1),MONTH($C$1),1),[1]!tblActvChurn[KPI],$BP$29,[1]!tblActvChurn[VERTICAL],$BO$10,[1]!tblActvChurn[AM],$BO34,[1]!tblActvChurn[RATEPLAN_TYPE],$BS$10,[1]!tblActvChurn[PG_TYPE],BS$11)</f>
        <v>#REF!</v>
      </c>
      <c r="BT34" s="51" t="e">
        <f>SUMIFS([1]!tblActvChurn[LINES],[1]!tblActvChurn[MONTH],DATE(YEAR($C$1),MONTH($C$1),1),[1]!tblActvChurn[KPI],$BP$29,[1]!tblActvChurn[VERTICAL],$BO$10,[1]!tblActvChurn[AM],$BO34,[1]!tblActvChurn[RATEPLAN_TYPE],$BS$10,[1]!tblActvChurn[PG_TYPE],BT$11)</f>
        <v>#REF!</v>
      </c>
      <c r="BU34" s="51" t="e">
        <f t="shared" si="20"/>
        <v>#REF!</v>
      </c>
      <c r="BV34" s="51" t="e">
        <f>SUMIFS([1]!tblActvChurn[LINES],[1]!tblActvChurn[MONTH],DATE(YEAR($C$1),MONTH($C$1),1),[1]!tblActvChurn[KPI],$BP$29,[1]!tblActvChurn[VERTICAL],$BO$10,[1]!tblActvChurn[AM],$BO34,[1]!tblActvChurn[RATEPLAN_TYPE],$BV$10,[1]!tblActvChurn[PG_TYPE],BV$11)</f>
        <v>#REF!</v>
      </c>
      <c r="BW34" s="51" t="e">
        <f>SUMIFS([1]!tblActvChurn[LINES],[1]!tblActvChurn[MONTH],DATE(YEAR($C$1),MONTH($C$1),1),[1]!tblActvChurn[KPI],$BP$29,[1]!tblActvChurn[VERTICAL],$BO$10,[1]!tblActvChurn[AM],$BO34,[1]!tblActvChurn[RATEPLAN_TYPE],$BV$10,[1]!tblActvChurn[PG_TYPE],BW$11)</f>
        <v>#REF!</v>
      </c>
      <c r="BX34" s="51" t="e">
        <f t="shared" si="21"/>
        <v>#REF!</v>
      </c>
      <c r="BY34" s="51" t="e">
        <f t="shared" si="22"/>
        <v>#REF!</v>
      </c>
      <c r="BZ34" s="51" t="e">
        <f t="shared" si="23"/>
        <v>#REF!</v>
      </c>
      <c r="CA34" s="51" t="e">
        <f t="shared" si="24"/>
        <v>#REF!</v>
      </c>
      <c r="CB34" s="52"/>
      <c r="CG34" s="40"/>
    </row>
    <row r="35" spans="1:85">
      <c r="A35" s="89"/>
      <c r="B35" s="90"/>
      <c r="C35" s="90"/>
      <c r="D35" s="90"/>
      <c r="E35" s="90"/>
      <c r="F35" s="90"/>
      <c r="G35" s="90"/>
      <c r="AE35" s="27"/>
      <c r="BM35" s="41"/>
      <c r="BO35" s="45" t="str">
        <f t="shared" si="18"/>
        <v>Ehab Hajou</v>
      </c>
      <c r="BP35" s="51" t="e">
        <f>SUMIFS([1]!tblActvChurn[LINES],[1]!tblActvChurn[MONTH],DATE(YEAR($C$1),MONTH($C$1),1),[1]!tblActvChurn[KPI],$BP$29,[1]!tblActvChurn[VERTICAL],$BO$10,[1]!tblActvChurn[AM],$BO35,[1]!tblActvChurn[RATEPLAN_TYPE],$BP$10,[1]!tblActvChurn[PG_TYPE],BP$11)</f>
        <v>#REF!</v>
      </c>
      <c r="BQ35" s="51" t="e">
        <f>SUMIFS([1]!tblActvChurn[LINES],[1]!tblActvChurn[MONTH],DATE(YEAR($C$1),MONTH($C$1),1),[1]!tblActvChurn[KPI],$BP$29,[1]!tblActvChurn[VERTICAL],$BO$10,[1]!tblActvChurn[AM],$BO35,[1]!tblActvChurn[RATEPLAN_TYPE],$BP$10,[1]!tblActvChurn[PG_TYPE],BQ$11)</f>
        <v>#REF!</v>
      </c>
      <c r="BR35" s="51" t="e">
        <f t="shared" si="19"/>
        <v>#REF!</v>
      </c>
      <c r="BS35" s="51" t="e">
        <f>SUMIFS([1]!tblActvChurn[LINES],[1]!tblActvChurn[MONTH],DATE(YEAR($C$1),MONTH($C$1),1),[1]!tblActvChurn[KPI],$BP$29,[1]!tblActvChurn[VERTICAL],$BO$10,[1]!tblActvChurn[AM],$BO35,[1]!tblActvChurn[RATEPLAN_TYPE],$BS$10,[1]!tblActvChurn[PG_TYPE],BS$11)</f>
        <v>#REF!</v>
      </c>
      <c r="BT35" s="51" t="e">
        <f>SUMIFS([1]!tblActvChurn[LINES],[1]!tblActvChurn[MONTH],DATE(YEAR($C$1),MONTH($C$1),1),[1]!tblActvChurn[KPI],$BP$29,[1]!tblActvChurn[VERTICAL],$BO$10,[1]!tblActvChurn[AM],$BO35,[1]!tblActvChurn[RATEPLAN_TYPE],$BS$10,[1]!tblActvChurn[PG_TYPE],BT$11)</f>
        <v>#REF!</v>
      </c>
      <c r="BU35" s="51" t="e">
        <f t="shared" si="20"/>
        <v>#REF!</v>
      </c>
      <c r="BV35" s="51" t="e">
        <f>SUMIFS([1]!tblActvChurn[LINES],[1]!tblActvChurn[MONTH],DATE(YEAR($C$1),MONTH($C$1),1),[1]!tblActvChurn[KPI],$BP$29,[1]!tblActvChurn[VERTICAL],$BO$10,[1]!tblActvChurn[AM],$BO35,[1]!tblActvChurn[RATEPLAN_TYPE],$BV$10,[1]!tblActvChurn[PG_TYPE],BV$11)</f>
        <v>#REF!</v>
      </c>
      <c r="BW35" s="51" t="e">
        <f>SUMIFS([1]!tblActvChurn[LINES],[1]!tblActvChurn[MONTH],DATE(YEAR($C$1),MONTH($C$1),1),[1]!tblActvChurn[KPI],$BP$29,[1]!tblActvChurn[VERTICAL],$BO$10,[1]!tblActvChurn[AM],$BO35,[1]!tblActvChurn[RATEPLAN_TYPE],$BV$10,[1]!tblActvChurn[PG_TYPE],BW$11)</f>
        <v>#REF!</v>
      </c>
      <c r="BX35" s="51" t="e">
        <f t="shared" si="21"/>
        <v>#REF!</v>
      </c>
      <c r="BY35" s="51" t="e">
        <f t="shared" si="22"/>
        <v>#REF!</v>
      </c>
      <c r="BZ35" s="51" t="e">
        <f t="shared" si="23"/>
        <v>#REF!</v>
      </c>
      <c r="CA35" s="51" t="e">
        <f t="shared" si="24"/>
        <v>#REF!</v>
      </c>
      <c r="CB35" s="52"/>
      <c r="CG35" s="40"/>
    </row>
    <row r="36" spans="1:85">
      <c r="A36" s="89"/>
      <c r="B36" s="90"/>
      <c r="C36" s="90"/>
      <c r="D36" s="90"/>
      <c r="E36" s="90"/>
      <c r="F36" s="90"/>
      <c r="G36" s="90"/>
      <c r="AE36" s="27"/>
      <c r="BM36" s="41"/>
      <c r="BO36" s="45" t="str">
        <f t="shared" si="18"/>
        <v>Ghassan Fouany</v>
      </c>
      <c r="BP36" s="51" t="e">
        <f>SUMIFS([1]!tblActvChurn[LINES],[1]!tblActvChurn[MONTH],DATE(YEAR($C$1),MONTH($C$1),1),[1]!tblActvChurn[KPI],$BP$29,[1]!tblActvChurn[VERTICAL],$BO$10,[1]!tblActvChurn[AM],$BO36,[1]!tblActvChurn[RATEPLAN_TYPE],$BP$10,[1]!tblActvChurn[PG_TYPE],BP$11)</f>
        <v>#REF!</v>
      </c>
      <c r="BQ36" s="51" t="e">
        <f>SUMIFS([1]!tblActvChurn[LINES],[1]!tblActvChurn[MONTH],DATE(YEAR($C$1),MONTH($C$1),1),[1]!tblActvChurn[KPI],$BP$29,[1]!tblActvChurn[VERTICAL],$BO$10,[1]!tblActvChurn[AM],$BO36,[1]!tblActvChurn[RATEPLAN_TYPE],$BP$10,[1]!tblActvChurn[PG_TYPE],BQ$11)</f>
        <v>#REF!</v>
      </c>
      <c r="BR36" s="51" t="e">
        <f t="shared" si="19"/>
        <v>#REF!</v>
      </c>
      <c r="BS36" s="51" t="e">
        <f>SUMIFS([1]!tblActvChurn[LINES],[1]!tblActvChurn[MONTH],DATE(YEAR($C$1),MONTH($C$1),1),[1]!tblActvChurn[KPI],$BP$29,[1]!tblActvChurn[VERTICAL],$BO$10,[1]!tblActvChurn[AM],$BO36,[1]!tblActvChurn[RATEPLAN_TYPE],$BS$10,[1]!tblActvChurn[PG_TYPE],BS$11)</f>
        <v>#REF!</v>
      </c>
      <c r="BT36" s="51" t="e">
        <f>SUMIFS([1]!tblActvChurn[LINES],[1]!tblActvChurn[MONTH],DATE(YEAR($C$1),MONTH($C$1),1),[1]!tblActvChurn[KPI],$BP$29,[1]!tblActvChurn[VERTICAL],$BO$10,[1]!tblActvChurn[AM],$BO36,[1]!tblActvChurn[RATEPLAN_TYPE],$BS$10,[1]!tblActvChurn[PG_TYPE],BT$11)</f>
        <v>#REF!</v>
      </c>
      <c r="BU36" s="51" t="e">
        <f t="shared" si="20"/>
        <v>#REF!</v>
      </c>
      <c r="BV36" s="51" t="e">
        <f>SUMIFS([1]!tblActvChurn[LINES],[1]!tblActvChurn[MONTH],DATE(YEAR($C$1),MONTH($C$1),1),[1]!tblActvChurn[KPI],$BP$29,[1]!tblActvChurn[VERTICAL],$BO$10,[1]!tblActvChurn[AM],$BO36,[1]!tblActvChurn[RATEPLAN_TYPE],$BV$10,[1]!tblActvChurn[PG_TYPE],BV$11)</f>
        <v>#REF!</v>
      </c>
      <c r="BW36" s="51" t="e">
        <f>SUMIFS([1]!tblActvChurn[LINES],[1]!tblActvChurn[MONTH],DATE(YEAR($C$1),MONTH($C$1),1),[1]!tblActvChurn[KPI],$BP$29,[1]!tblActvChurn[VERTICAL],$BO$10,[1]!tblActvChurn[AM],$BO36,[1]!tblActvChurn[RATEPLAN_TYPE],$BV$10,[1]!tblActvChurn[PG_TYPE],BW$11)</f>
        <v>#REF!</v>
      </c>
      <c r="BX36" s="51" t="e">
        <f t="shared" si="21"/>
        <v>#REF!</v>
      </c>
      <c r="BY36" s="51" t="e">
        <f t="shared" si="22"/>
        <v>#REF!</v>
      </c>
      <c r="BZ36" s="51" t="e">
        <f t="shared" si="23"/>
        <v>#REF!</v>
      </c>
      <c r="CA36" s="51" t="e">
        <f t="shared" si="24"/>
        <v>#REF!</v>
      </c>
      <c r="CB36" s="52"/>
      <c r="CG36" s="40"/>
    </row>
    <row r="37" spans="1:85">
      <c r="A37" s="89"/>
      <c r="B37" s="90"/>
      <c r="C37" s="89"/>
      <c r="D37" s="90"/>
      <c r="AE37" s="27"/>
      <c r="BM37" s="41"/>
      <c r="BO37" s="45" t="str">
        <f t="shared" si="18"/>
        <v>Inayat Fazili</v>
      </c>
      <c r="BP37" s="51" t="e">
        <f>SUMIFS([1]!tblActvChurn[LINES],[1]!tblActvChurn[MONTH],DATE(YEAR($C$1),MONTH($C$1),1),[1]!tblActvChurn[KPI],$BP$29,[1]!tblActvChurn[VERTICAL],$BO$10,[1]!tblActvChurn[AM],$BO37,[1]!tblActvChurn[RATEPLAN_TYPE],$BP$10,[1]!tblActvChurn[PG_TYPE],BP$11)</f>
        <v>#REF!</v>
      </c>
      <c r="BQ37" s="51" t="e">
        <f>SUMIFS([1]!tblActvChurn[LINES],[1]!tblActvChurn[MONTH],DATE(YEAR($C$1),MONTH($C$1),1),[1]!tblActvChurn[KPI],$BP$29,[1]!tblActvChurn[VERTICAL],$BO$10,[1]!tblActvChurn[AM],$BO37,[1]!tblActvChurn[RATEPLAN_TYPE],$BP$10,[1]!tblActvChurn[PG_TYPE],BQ$11)</f>
        <v>#REF!</v>
      </c>
      <c r="BR37" s="51" t="e">
        <f t="shared" si="19"/>
        <v>#REF!</v>
      </c>
      <c r="BS37" s="51" t="e">
        <f>SUMIFS([1]!tblActvChurn[LINES],[1]!tblActvChurn[MONTH],DATE(YEAR($C$1),MONTH($C$1),1),[1]!tblActvChurn[KPI],$BP$29,[1]!tblActvChurn[VERTICAL],$BO$10,[1]!tblActvChurn[AM],$BO37,[1]!tblActvChurn[RATEPLAN_TYPE],$BS$10,[1]!tblActvChurn[PG_TYPE],BS$11)</f>
        <v>#REF!</v>
      </c>
      <c r="BT37" s="51" t="e">
        <f>SUMIFS([1]!tblActvChurn[LINES],[1]!tblActvChurn[MONTH],DATE(YEAR($C$1),MONTH($C$1),1),[1]!tblActvChurn[KPI],$BP$29,[1]!tblActvChurn[VERTICAL],$BO$10,[1]!tblActvChurn[AM],$BO37,[1]!tblActvChurn[RATEPLAN_TYPE],$BS$10,[1]!tblActvChurn[PG_TYPE],BT$11)</f>
        <v>#REF!</v>
      </c>
      <c r="BU37" s="51" t="e">
        <f t="shared" si="20"/>
        <v>#REF!</v>
      </c>
      <c r="BV37" s="51" t="e">
        <f>SUMIFS([1]!tblActvChurn[LINES],[1]!tblActvChurn[MONTH],DATE(YEAR($C$1),MONTH($C$1),1),[1]!tblActvChurn[KPI],$BP$29,[1]!tblActvChurn[VERTICAL],$BO$10,[1]!tblActvChurn[AM],$BO37,[1]!tblActvChurn[RATEPLAN_TYPE],$BV$10,[1]!tblActvChurn[PG_TYPE],BV$11)</f>
        <v>#REF!</v>
      </c>
      <c r="BW37" s="51" t="e">
        <f>SUMIFS([1]!tblActvChurn[LINES],[1]!tblActvChurn[MONTH],DATE(YEAR($C$1),MONTH($C$1),1),[1]!tblActvChurn[KPI],$BP$29,[1]!tblActvChurn[VERTICAL],$BO$10,[1]!tblActvChurn[AM],$BO37,[1]!tblActvChurn[RATEPLAN_TYPE],$BV$10,[1]!tblActvChurn[PG_TYPE],BW$11)</f>
        <v>#REF!</v>
      </c>
      <c r="BX37" s="51" t="e">
        <f t="shared" si="21"/>
        <v>#REF!</v>
      </c>
      <c r="BY37" s="51" t="e">
        <f t="shared" si="22"/>
        <v>#REF!</v>
      </c>
      <c r="BZ37" s="51" t="e">
        <f t="shared" si="23"/>
        <v>#REF!</v>
      </c>
      <c r="CA37" s="51" t="e">
        <f t="shared" si="24"/>
        <v>#REF!</v>
      </c>
      <c r="CB37" s="52"/>
      <c r="CG37" s="40"/>
    </row>
    <row r="38" spans="1:85">
      <c r="A38" s="89"/>
      <c r="B38" s="90"/>
      <c r="C38" s="89"/>
      <c r="D38" s="90"/>
      <c r="AE38" s="27"/>
      <c r="AM38" s="52"/>
      <c r="AP38" s="74"/>
      <c r="AT38" s="52"/>
      <c r="AU38" s="52"/>
      <c r="BF38" s="52"/>
      <c r="BM38" s="41"/>
      <c r="BO38" s="45" t="str">
        <f t="shared" si="18"/>
        <v>Mohamad Labban</v>
      </c>
      <c r="BP38" s="51" t="e">
        <f>SUMIFS([1]!tblActvChurn[LINES],[1]!tblActvChurn[MONTH],DATE(YEAR($C$1),MONTH($C$1),1),[1]!tblActvChurn[KPI],$BP$29,[1]!tblActvChurn[VERTICAL],$BO$10,[1]!tblActvChurn[AM],$BO38,[1]!tblActvChurn[RATEPLAN_TYPE],$BP$10,[1]!tblActvChurn[PG_TYPE],BP$11)</f>
        <v>#REF!</v>
      </c>
      <c r="BQ38" s="51" t="e">
        <f>SUMIFS([1]!tblActvChurn[LINES],[1]!tblActvChurn[MONTH],DATE(YEAR($C$1),MONTH($C$1),1),[1]!tblActvChurn[KPI],$BP$29,[1]!tblActvChurn[VERTICAL],$BO$10,[1]!tblActvChurn[AM],$BO38,[1]!tblActvChurn[RATEPLAN_TYPE],$BP$10,[1]!tblActvChurn[PG_TYPE],BQ$11)</f>
        <v>#REF!</v>
      </c>
      <c r="BR38" s="51" t="e">
        <f t="shared" si="19"/>
        <v>#REF!</v>
      </c>
      <c r="BS38" s="51" t="e">
        <f>SUMIFS([1]!tblActvChurn[LINES],[1]!tblActvChurn[MONTH],DATE(YEAR($C$1),MONTH($C$1),1),[1]!tblActvChurn[KPI],$BP$29,[1]!tblActvChurn[VERTICAL],$BO$10,[1]!tblActvChurn[AM],$BO38,[1]!tblActvChurn[RATEPLAN_TYPE],$BS$10,[1]!tblActvChurn[PG_TYPE],BS$11)</f>
        <v>#REF!</v>
      </c>
      <c r="BT38" s="51" t="e">
        <f>SUMIFS([1]!tblActvChurn[LINES],[1]!tblActvChurn[MONTH],DATE(YEAR($C$1),MONTH($C$1),1),[1]!tblActvChurn[KPI],$BP$29,[1]!tblActvChurn[VERTICAL],$BO$10,[1]!tblActvChurn[AM],$BO38,[1]!tblActvChurn[RATEPLAN_TYPE],$BS$10,[1]!tblActvChurn[PG_TYPE],BT$11)</f>
        <v>#REF!</v>
      </c>
      <c r="BU38" s="51" t="e">
        <f t="shared" si="20"/>
        <v>#REF!</v>
      </c>
      <c r="BV38" s="51" t="e">
        <f>SUMIFS([1]!tblActvChurn[LINES],[1]!tblActvChurn[MONTH],DATE(YEAR($C$1),MONTH($C$1),1),[1]!tblActvChurn[KPI],$BP$29,[1]!tblActvChurn[VERTICAL],$BO$10,[1]!tblActvChurn[AM],$BO38,[1]!tblActvChurn[RATEPLAN_TYPE],$BV$10,[1]!tblActvChurn[PG_TYPE],BV$11)</f>
        <v>#REF!</v>
      </c>
      <c r="BW38" s="51" t="e">
        <f>SUMIFS([1]!tblActvChurn[LINES],[1]!tblActvChurn[MONTH],DATE(YEAR($C$1),MONTH($C$1),1),[1]!tblActvChurn[KPI],$BP$29,[1]!tblActvChurn[VERTICAL],$BO$10,[1]!tblActvChurn[AM],$BO38,[1]!tblActvChurn[RATEPLAN_TYPE],$BV$10,[1]!tblActvChurn[PG_TYPE],BW$11)</f>
        <v>#REF!</v>
      </c>
      <c r="BX38" s="51" t="e">
        <f t="shared" si="21"/>
        <v>#REF!</v>
      </c>
      <c r="BY38" s="51" t="e">
        <f t="shared" si="22"/>
        <v>#REF!</v>
      </c>
      <c r="BZ38" s="51" t="e">
        <f t="shared" si="23"/>
        <v>#REF!</v>
      </c>
      <c r="CA38" s="51" t="e">
        <f t="shared" si="24"/>
        <v>#REF!</v>
      </c>
      <c r="CB38" s="52"/>
      <c r="CG38" s="40"/>
    </row>
    <row r="39" spans="1:85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E39" s="27"/>
      <c r="AO39" s="74"/>
      <c r="AR39" s="74"/>
      <c r="AT39" s="91"/>
      <c r="AU39" s="91"/>
      <c r="AV39" s="26"/>
      <c r="AW39" s="26"/>
      <c r="AX39" s="26"/>
      <c r="AY39" s="26"/>
      <c r="AZ39" s="26"/>
      <c r="BA39" s="26"/>
      <c r="BB39" s="26"/>
      <c r="BC39" s="26"/>
      <c r="BD39" s="92" t="e">
        <f>SUM([1]HUNT!#REF!,[1]LE!#REF!,'KEY-B'!#REF!,[1]AUH!#REF!,[1]DXB!#REF!,'[1]F-NE'!#REF!,'[1]KEY-A'!#REF!)</f>
        <v>#REF!</v>
      </c>
      <c r="BG39" s="52"/>
      <c r="BM39" s="41"/>
      <c r="BO39" s="45" t="e">
        <f t="shared" si="18"/>
        <v>#REF!</v>
      </c>
      <c r="BP39" s="51" t="e">
        <f>SUMIFS([1]!tblActvChurn[LINES],[1]!tblActvChurn[MONTH],DATE(YEAR($C$1),MONTH($C$1),1),[1]!tblActvChurn[KPI],$BP$29,[1]!tblActvChurn[VERTICAL],$BO$10,[1]!tblActvChurn[AM],$BO39,[1]!tblActvChurn[RATEPLAN_TYPE],$BP$10,[1]!tblActvChurn[PG_TYPE],BP$11)</f>
        <v>#REF!</v>
      </c>
      <c r="BQ39" s="51" t="e">
        <f>SUMIFS([1]!tblActvChurn[LINES],[1]!tblActvChurn[MONTH],DATE(YEAR($C$1),MONTH($C$1),1),[1]!tblActvChurn[KPI],$BP$29,[1]!tblActvChurn[VERTICAL],$BO$10,[1]!tblActvChurn[AM],$BO39,[1]!tblActvChurn[RATEPLAN_TYPE],$BP$10,[1]!tblActvChurn[PG_TYPE],BQ$11)</f>
        <v>#REF!</v>
      </c>
      <c r="BR39" s="51" t="e">
        <f t="shared" si="19"/>
        <v>#REF!</v>
      </c>
      <c r="BS39" s="51" t="e">
        <f>SUMIFS([1]!tblActvChurn[LINES],[1]!tblActvChurn[MONTH],DATE(YEAR($C$1),MONTH($C$1),1),[1]!tblActvChurn[KPI],$BP$29,[1]!tblActvChurn[VERTICAL],$BO$10,[1]!tblActvChurn[AM],$BO39,[1]!tblActvChurn[RATEPLAN_TYPE],$BS$10,[1]!tblActvChurn[PG_TYPE],BS$11)</f>
        <v>#REF!</v>
      </c>
      <c r="BT39" s="51" t="e">
        <f>SUMIFS([1]!tblActvChurn[LINES],[1]!tblActvChurn[MONTH],DATE(YEAR($C$1),MONTH($C$1),1),[1]!tblActvChurn[KPI],$BP$29,[1]!tblActvChurn[VERTICAL],$BO$10,[1]!tblActvChurn[AM],$BO39,[1]!tblActvChurn[RATEPLAN_TYPE],$BS$10,[1]!tblActvChurn[PG_TYPE],BT$11)</f>
        <v>#REF!</v>
      </c>
      <c r="BU39" s="51" t="e">
        <f t="shared" si="20"/>
        <v>#REF!</v>
      </c>
      <c r="BV39" s="51" t="e">
        <f>SUMIFS([1]!tblActvChurn[LINES],[1]!tblActvChurn[MONTH],DATE(YEAR($C$1),MONTH($C$1),1),[1]!tblActvChurn[KPI],$BP$29,[1]!tblActvChurn[VERTICAL],$BO$10,[1]!tblActvChurn[AM],$BO39,[1]!tblActvChurn[RATEPLAN_TYPE],$BV$10,[1]!tblActvChurn[PG_TYPE],BV$11)</f>
        <v>#REF!</v>
      </c>
      <c r="BW39" s="51" t="e">
        <f>SUMIFS([1]!tblActvChurn[LINES],[1]!tblActvChurn[MONTH],DATE(YEAR($C$1),MONTH($C$1),1),[1]!tblActvChurn[KPI],$BP$29,[1]!tblActvChurn[VERTICAL],$BO$10,[1]!tblActvChurn[AM],$BO39,[1]!tblActvChurn[RATEPLAN_TYPE],$BV$10,[1]!tblActvChurn[PG_TYPE],BW$11)</f>
        <v>#REF!</v>
      </c>
      <c r="BX39" s="51" t="e">
        <f t="shared" si="21"/>
        <v>#REF!</v>
      </c>
      <c r="BY39" s="51" t="e">
        <f t="shared" si="22"/>
        <v>#REF!</v>
      </c>
      <c r="BZ39" s="51" t="e">
        <f t="shared" si="23"/>
        <v>#REF!</v>
      </c>
      <c r="CA39" s="51" t="e">
        <f t="shared" si="24"/>
        <v>#REF!</v>
      </c>
      <c r="CB39" s="52"/>
      <c r="CG39" s="40"/>
    </row>
    <row r="40" spans="1:85" ht="14.4" customHeight="1">
      <c r="A40" s="89"/>
      <c r="B40" s="90"/>
      <c r="C40" s="89"/>
      <c r="D40" s="90"/>
      <c r="AE40" s="27"/>
      <c r="BM40" s="41"/>
      <c r="BO40" s="45" t="str">
        <f t="shared" si="18"/>
        <v>Nadeem Rasheed</v>
      </c>
      <c r="BP40" s="51" t="e">
        <f>SUMIFS([1]!tblActvChurn[LINES],[1]!tblActvChurn[MONTH],DATE(YEAR($C$1),MONTH($C$1),1),[1]!tblActvChurn[KPI],$BP$29,[1]!tblActvChurn[VERTICAL],$BO$10,[1]!tblActvChurn[AM],$BO40,[1]!tblActvChurn[RATEPLAN_TYPE],$BP$10,[1]!tblActvChurn[PG_TYPE],BP$11)</f>
        <v>#REF!</v>
      </c>
      <c r="BQ40" s="51" t="e">
        <f>SUMIFS([1]!tblActvChurn[LINES],[1]!tblActvChurn[MONTH],DATE(YEAR($C$1),MONTH($C$1),1),[1]!tblActvChurn[KPI],$BP$29,[1]!tblActvChurn[VERTICAL],$BO$10,[1]!tblActvChurn[AM],$BO40,[1]!tblActvChurn[RATEPLAN_TYPE],$BP$10,[1]!tblActvChurn[PG_TYPE],BQ$11)</f>
        <v>#REF!</v>
      </c>
      <c r="BR40" s="51" t="e">
        <f t="shared" si="19"/>
        <v>#REF!</v>
      </c>
      <c r="BS40" s="51" t="e">
        <f>SUMIFS([1]!tblActvChurn[LINES],[1]!tblActvChurn[MONTH],DATE(YEAR($C$1),MONTH($C$1),1),[1]!tblActvChurn[KPI],$BP$29,[1]!tblActvChurn[VERTICAL],$BO$10,[1]!tblActvChurn[AM],$BO40,[1]!tblActvChurn[RATEPLAN_TYPE],$BS$10,[1]!tblActvChurn[PG_TYPE],BS$11)</f>
        <v>#REF!</v>
      </c>
      <c r="BT40" s="51" t="e">
        <f>SUMIFS([1]!tblActvChurn[LINES],[1]!tblActvChurn[MONTH],DATE(YEAR($C$1),MONTH($C$1),1),[1]!tblActvChurn[KPI],$BP$29,[1]!tblActvChurn[VERTICAL],$BO$10,[1]!tblActvChurn[AM],$BO40,[1]!tblActvChurn[RATEPLAN_TYPE],$BS$10,[1]!tblActvChurn[PG_TYPE],BT$11)</f>
        <v>#REF!</v>
      </c>
      <c r="BU40" s="51" t="e">
        <f t="shared" si="20"/>
        <v>#REF!</v>
      </c>
      <c r="BV40" s="51" t="e">
        <f>SUMIFS([1]!tblActvChurn[LINES],[1]!tblActvChurn[MONTH],DATE(YEAR($C$1),MONTH($C$1),1),[1]!tblActvChurn[KPI],$BP$29,[1]!tblActvChurn[VERTICAL],$BO$10,[1]!tblActvChurn[AM],$BO40,[1]!tblActvChurn[RATEPLAN_TYPE],$BV$10,[1]!tblActvChurn[PG_TYPE],BV$11)</f>
        <v>#REF!</v>
      </c>
      <c r="BW40" s="51" t="e">
        <f>SUMIFS([1]!tblActvChurn[LINES],[1]!tblActvChurn[MONTH],DATE(YEAR($C$1),MONTH($C$1),1),[1]!tblActvChurn[KPI],$BP$29,[1]!tblActvChurn[VERTICAL],$BO$10,[1]!tblActvChurn[AM],$BO40,[1]!tblActvChurn[RATEPLAN_TYPE],$BV$10,[1]!tblActvChurn[PG_TYPE],BW$11)</f>
        <v>#REF!</v>
      </c>
      <c r="BX40" s="51" t="e">
        <f t="shared" si="21"/>
        <v>#REF!</v>
      </c>
      <c r="BY40" s="51" t="e">
        <f t="shared" si="22"/>
        <v>#REF!</v>
      </c>
      <c r="BZ40" s="51" t="e">
        <f t="shared" si="23"/>
        <v>#REF!</v>
      </c>
      <c r="CA40" s="51" t="e">
        <f t="shared" si="24"/>
        <v>#REF!</v>
      </c>
      <c r="CB40" s="52"/>
      <c r="CG40" s="40"/>
    </row>
    <row r="41" spans="1:85">
      <c r="A41" s="89"/>
      <c r="B41" s="90"/>
      <c r="C41" s="89"/>
      <c r="D41" s="90"/>
      <c r="AE41" s="27"/>
      <c r="BM41" s="41"/>
      <c r="BO41" s="45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2"/>
      <c r="CG41" s="40"/>
    </row>
    <row r="42" spans="1:85">
      <c r="A42" s="89"/>
      <c r="B42" s="90"/>
      <c r="C42" s="89"/>
      <c r="D42" s="90"/>
      <c r="AE42" s="27"/>
      <c r="BM42" s="41"/>
      <c r="BO42" s="45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2"/>
      <c r="CG42" s="40"/>
    </row>
    <row r="43" spans="1:85" ht="15" customHeight="1">
      <c r="A43" s="89"/>
      <c r="B43" s="90"/>
      <c r="C43" s="89"/>
      <c r="D43" s="90"/>
      <c r="AE43" s="27"/>
      <c r="BM43" s="41"/>
      <c r="BO43" s="82" t="s">
        <v>37</v>
      </c>
      <c r="BP43" s="83" t="e">
        <f t="shared" ref="BP43:CA43" si="25">SUM(BP32:BP42)</f>
        <v>#REF!</v>
      </c>
      <c r="BQ43" s="83" t="e">
        <f t="shared" si="25"/>
        <v>#REF!</v>
      </c>
      <c r="BR43" s="83" t="e">
        <f t="shared" si="25"/>
        <v>#REF!</v>
      </c>
      <c r="BS43" s="83" t="e">
        <f t="shared" si="25"/>
        <v>#REF!</v>
      </c>
      <c r="BT43" s="83" t="e">
        <f t="shared" si="25"/>
        <v>#REF!</v>
      </c>
      <c r="BU43" s="83" t="e">
        <f t="shared" si="25"/>
        <v>#REF!</v>
      </c>
      <c r="BV43" s="83" t="e">
        <f t="shared" si="25"/>
        <v>#REF!</v>
      </c>
      <c r="BW43" s="83" t="e">
        <f t="shared" si="25"/>
        <v>#REF!</v>
      </c>
      <c r="BX43" s="83" t="e">
        <f t="shared" si="25"/>
        <v>#REF!</v>
      </c>
      <c r="BY43" s="83" t="e">
        <f t="shared" si="25"/>
        <v>#REF!</v>
      </c>
      <c r="BZ43" s="83" t="e">
        <f t="shared" si="25"/>
        <v>#REF!</v>
      </c>
      <c r="CA43" s="83" t="e">
        <f t="shared" si="25"/>
        <v>#REF!</v>
      </c>
      <c r="CB43" s="52"/>
      <c r="CG43" s="40"/>
    </row>
    <row r="44" spans="1:85">
      <c r="A44" s="89"/>
      <c r="B44" s="90"/>
      <c r="C44" s="89"/>
      <c r="D44" s="90"/>
      <c r="AE44" s="27"/>
      <c r="BM44" s="41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G44" s="40"/>
    </row>
    <row r="45" spans="1:85">
      <c r="A45" s="89"/>
      <c r="B45" s="90"/>
      <c r="C45" s="89"/>
      <c r="D45" s="90"/>
      <c r="AE45" s="27"/>
      <c r="AH45" s="93"/>
      <c r="AI45" s="93"/>
      <c r="AJ45" s="93"/>
      <c r="AK45" s="93"/>
      <c r="AL45" s="93"/>
      <c r="AM45" s="93"/>
      <c r="AN45" s="93"/>
      <c r="AO45" s="93"/>
      <c r="AP45" s="93"/>
      <c r="BM45" s="41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G45" s="40"/>
    </row>
    <row r="46" spans="1:85" s="93" customForma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7"/>
      <c r="AF46" s="22"/>
      <c r="AG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M46" s="41"/>
      <c r="BO46" s="22" t="s">
        <v>29</v>
      </c>
      <c r="BP46" s="121" t="s">
        <v>41</v>
      </c>
      <c r="BQ46" s="122"/>
      <c r="BR46" s="122"/>
      <c r="BS46" s="122"/>
      <c r="BT46" s="122"/>
      <c r="BU46" s="122"/>
      <c r="BV46" s="122"/>
      <c r="BW46" s="122"/>
      <c r="BX46" s="122"/>
      <c r="BY46" s="52"/>
      <c r="BZ46" s="52"/>
      <c r="CA46" s="52"/>
      <c r="CB46" s="94"/>
      <c r="CG46" s="40"/>
    </row>
    <row r="47" spans="1:85" s="93" customForma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7"/>
      <c r="AF47" s="22"/>
      <c r="AG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M47" s="41"/>
      <c r="BO47" s="126" t="str">
        <f>BO30</f>
        <v>KEY-B</v>
      </c>
      <c r="BP47" s="47" t="s">
        <v>25</v>
      </c>
      <c r="BQ47" s="47"/>
      <c r="BR47" s="47"/>
      <c r="BS47" s="47" t="s">
        <v>26</v>
      </c>
      <c r="BT47" s="47"/>
      <c r="BU47" s="47"/>
      <c r="BV47" s="47" t="s">
        <v>42</v>
      </c>
      <c r="BW47" s="47"/>
      <c r="BX47" s="47"/>
      <c r="BY47" s="52"/>
      <c r="BZ47" s="52"/>
      <c r="CA47" s="52"/>
      <c r="CB47" s="94"/>
      <c r="CG47" s="40"/>
    </row>
    <row r="48" spans="1:85" s="93" customForma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7"/>
      <c r="AF48" s="22"/>
      <c r="AG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M48" s="41"/>
      <c r="BO48" s="132"/>
      <c r="BP48" s="47"/>
      <c r="BQ48" s="47"/>
      <c r="BR48" s="47"/>
      <c r="BS48" s="47"/>
      <c r="BT48" s="47"/>
      <c r="BU48" s="47"/>
      <c r="BV48" s="47"/>
      <c r="BW48" s="47"/>
      <c r="BX48" s="47"/>
      <c r="BY48" s="52"/>
      <c r="BZ48" s="52"/>
      <c r="CA48" s="52"/>
      <c r="CB48" s="94"/>
      <c r="CG48" s="40"/>
    </row>
    <row r="49" spans="1:85" s="93" customForma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7"/>
      <c r="AF49" s="22"/>
      <c r="AG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M49" s="41"/>
      <c r="BO49" s="132"/>
      <c r="BP49" s="47"/>
      <c r="BQ49" s="47"/>
      <c r="BR49" s="47"/>
      <c r="BS49" s="47"/>
      <c r="BT49" s="47"/>
      <c r="BU49" s="47"/>
      <c r="BV49" s="47"/>
      <c r="BW49" s="47"/>
      <c r="BX49" s="47"/>
      <c r="BY49" s="52"/>
      <c r="BZ49" s="52"/>
      <c r="CA49" s="52"/>
      <c r="CB49" s="94"/>
      <c r="CG49" s="40"/>
    </row>
    <row r="50" spans="1:85" s="93" customFormat="1" ht="14.4" thickBo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7"/>
      <c r="AF50" s="22"/>
      <c r="AG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M50" s="41"/>
      <c r="BO50" s="132"/>
      <c r="BP50" s="47"/>
      <c r="BQ50" s="47"/>
      <c r="BR50" s="47"/>
      <c r="BS50" s="47"/>
      <c r="BT50" s="47"/>
      <c r="BU50" s="47"/>
      <c r="BV50" s="47"/>
      <c r="BW50" s="47"/>
      <c r="BX50" s="47"/>
      <c r="BY50" s="52"/>
      <c r="BZ50" s="52"/>
      <c r="CA50" s="52"/>
      <c r="CB50" s="94"/>
      <c r="CG50" s="40"/>
    </row>
    <row r="51" spans="1:85" s="93" customFormat="1" ht="27.6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7"/>
      <c r="AF51" s="22"/>
      <c r="AG51" s="22"/>
      <c r="AH51" s="95" t="str">
        <f>AM20</f>
        <v>KEY-B</v>
      </c>
      <c r="AI51" s="96" t="s">
        <v>0</v>
      </c>
      <c r="AJ51" s="96" t="s">
        <v>20</v>
      </c>
      <c r="AK51" s="96" t="s">
        <v>21</v>
      </c>
      <c r="AL51" s="96" t="s">
        <v>22</v>
      </c>
      <c r="AM51" s="96" t="s">
        <v>23</v>
      </c>
      <c r="AN51" s="96" t="s">
        <v>24</v>
      </c>
      <c r="AO51" s="96" t="s">
        <v>25</v>
      </c>
      <c r="AP51" s="96" t="s">
        <v>26</v>
      </c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M51" s="41"/>
      <c r="BO51" s="127"/>
      <c r="BP51" s="87" t="s">
        <v>35</v>
      </c>
      <c r="BQ51" s="88" t="s">
        <v>36</v>
      </c>
      <c r="BR51" s="88" t="s">
        <v>37</v>
      </c>
      <c r="BS51" s="88" t="s">
        <v>35</v>
      </c>
      <c r="BT51" s="88" t="s">
        <v>36</v>
      </c>
      <c r="BU51" s="88" t="s">
        <v>37</v>
      </c>
      <c r="BV51" s="88" t="s">
        <v>35</v>
      </c>
      <c r="BW51" s="88" t="s">
        <v>36</v>
      </c>
      <c r="BX51" s="88" t="s">
        <v>37</v>
      </c>
      <c r="BY51" s="52"/>
      <c r="BZ51" s="52"/>
      <c r="CA51" s="52"/>
      <c r="CB51" s="94"/>
      <c r="CG51" s="40"/>
    </row>
    <row r="52" spans="1:85">
      <c r="AE52" s="27"/>
      <c r="AH52" s="75">
        <f>DATE(YEAR($C$1),MONTH($C$1)-5,1)</f>
        <v>46054</v>
      </c>
      <c r="AI52" s="97" t="e">
        <f>SUMIFS([1]!tblActvChurn[POINTS],[1]!tblActvChurn[MONTH],$AH52,[1]!tblActvChurn[KPI],AI$51,[1]!tblActvChurn[VERTICAL],$AM$19)</f>
        <v>#REF!</v>
      </c>
      <c r="AJ52" s="97" t="e">
        <f>SUMIFS([1]!tblActvChurn[POINTS],[1]!tblActvChurn[MONTH],$AH52,[1]!tblActvChurn[KPI],AJ$51,[1]!tblActvChurn[VERTICAL],$AM$19)</f>
        <v>#REF!</v>
      </c>
      <c r="AK52" s="97" t="e">
        <f>SUMIFS([1]!tblActvChurn[POINTS],[1]!tblActvChurn[MONTH],$AH52,[1]!tblActvChurn[KPI],AK$51,[1]!tblActvChurn[VERTICAL],$AM$19)</f>
        <v>#REF!</v>
      </c>
      <c r="AL52" s="97" t="e">
        <f>SUMIFS([1]!tblFixedNetMRC[NET_MRC],[1]!tblFixedNetMRC[MONTH],$AH52,[1]!tblFixedNetMRC[KPI],AL$51,[1]!tblFixedNetMRC[VERTICAL],$AM$19)</f>
        <v>#REF!</v>
      </c>
      <c r="AM52" s="97" t="e">
        <f>SUMIFS([1]!tblFixedNetMRC[NET_MRC],[1]!tblFixedNetMRC[MONTH],$AH52,[1]!tblFixedNetMRC[KPI],AM$51,[1]!tblFixedNetMRC[VERTICAL],$AM$19)</f>
        <v>#REF!</v>
      </c>
      <c r="AN52" s="97" t="e">
        <f>SUMIFS([1]!tblFixedNetMRC[NET_MRC],[1]!tblFixedNetMRC[MONTH],$AH52,[1]!tblFixedNetMRC[KPI],AN$51,[1]!tblFixedNetMRC[VERTICAL],$AM$19)</f>
        <v>#REF!</v>
      </c>
      <c r="AO52" s="97" t="e">
        <f>SUMIFS([1]!tblActvChurn[POINTS],[1]!tblActvChurn[MONTH],$AH52,[1]!tblActvChurn[KPI],AO$51,[1]!tblActvChurn[VERTICAL],$AM$19)</f>
        <v>#REF!</v>
      </c>
      <c r="AP52" s="97" t="e">
        <f>SUMIFS([1]!tblActvChurn[POINTS],[1]!tblActvChurn[MONTH],$AH52,[1]!tblActvChurn[KPI],AP$51,[1]!tblActvChurn[VERTICAL],$AM$19)</f>
        <v>#REF!</v>
      </c>
      <c r="BM52" s="41"/>
      <c r="BO52" s="45" t="str">
        <f t="shared" ref="BO52:BO60" si="26">BO32</f>
        <v>Abdel Azim Sharabati</v>
      </c>
      <c r="BP52" s="51" t="e">
        <f>SUMIFS([1]!tblActvChurn[LINES],[1]!tblActvChurn[MONTH],DATE(YEAR($C$1),MONTH($C$1),1),[1]!tblActvChurn[KPI],$BP$47,[1]!tblActvChurn[VERTICAL],$BO$10,[1]!tblActvChurn[AM],$BO52,[1]!tblActvChurn[RATEPLAN_TYPE],"Postpaid",[1]!tblActvChurn[PG_TYPE],BP$11)</f>
        <v>#REF!</v>
      </c>
      <c r="BQ52" s="51" t="e">
        <f>SUMIFS([1]!tblActvChurn[LINES],[1]!tblActvChurn[MONTH],DATE(YEAR($C$1),MONTH($C$1),1),[1]!tblActvChurn[KPI],$BP$47,[1]!tblActvChurn[VERTICAL],$BO$10,[1]!tblActvChurn[AM],$BO52,[1]!tblActvChurn[RATEPLAN_TYPE],"Postpaid",[1]!tblActvChurn[PG_TYPE],BQ$11)</f>
        <v>#REF!</v>
      </c>
      <c r="BR52" s="51" t="e">
        <f t="shared" ref="BR52:BR60" si="27">SUM(BP52:BQ52)</f>
        <v>#REF!</v>
      </c>
      <c r="BS52" s="51" t="e">
        <f>SUMIFS([1]!tblActvChurn[LINES],[1]!tblActvChurn[MONTH],DATE(YEAR($C$1),MONTH($C$1),1),[1]!tblActvChurn[KPI],$BS$47,[1]!tblActvChurn[VERTICAL],$BO$10,[1]!tblActvChurn[AM],$BO52,[1]!tblActvChurn[RATEPLAN_TYPE],"Postpaid",[1]!tblActvChurn[PG_TYPE],BS$11)</f>
        <v>#REF!</v>
      </c>
      <c r="BT52" s="51" t="e">
        <f>SUMIFS([1]!tblActvChurn[LINES],[1]!tblActvChurn[MONTH],DATE(YEAR($C$1),MONTH($C$1),1),[1]!tblActvChurn[KPI],$BS$47,[1]!tblActvChurn[VERTICAL],$BO$10,[1]!tblActvChurn[AM],$BO52,[1]!tblActvChurn[RATEPLAN_TYPE],"Postpaid",[1]!tblActvChurn[PG_TYPE],BT$11)</f>
        <v>#REF!</v>
      </c>
      <c r="BU52" s="51" t="e">
        <f t="shared" ref="BU52:BU60" si="28">SUM(BS52:BT52)</f>
        <v>#REF!</v>
      </c>
      <c r="BV52" s="51" t="e">
        <f>SUMIFS([1]!tblActvChurn[LINES],[1]!tblActvChurn[MONTH],DATE(YEAR($C$1),MONTH($C$1),1),[1]!tblActvChurn[KPI],$BV$47,[1]!tblActvChurn[VERTICAL],$BO$10,[1]!tblActvChurn[AM],$BO52,[1]!tblActvChurn[RATEPLAN_TYPE],"Postpaid",[1]!tblActvChurn[PG_TYPE],BV$11)</f>
        <v>#REF!</v>
      </c>
      <c r="BW52" s="51" t="e">
        <f>SUMIFS([1]!tblActvChurn[LINES],[1]!tblActvChurn[MONTH],DATE(YEAR($C$1),MONTH($C$1),1),[1]!tblActvChurn[KPI],$BV$47,[1]!tblActvChurn[VERTICAL],$BO$10,[1]!tblActvChurn[AM],$BO52,[1]!tblActvChurn[RATEPLAN_TYPE],"Postpaid",[1]!tblActvChurn[PG_TYPE],BW$11)</f>
        <v>#REF!</v>
      </c>
      <c r="BX52" s="51" t="e">
        <f t="shared" ref="BX52:BX60" si="29">SUM(BV52:BW52)</f>
        <v>#REF!</v>
      </c>
      <c r="BY52" s="52"/>
      <c r="BZ52" s="52"/>
      <c r="CA52" s="52"/>
      <c r="CB52" s="52"/>
      <c r="CG52" s="40"/>
    </row>
    <row r="53" spans="1:85">
      <c r="AE53" s="27"/>
      <c r="AH53" s="75">
        <f>DATE(YEAR($C$1),MONTH($C$1)-4,1)</f>
        <v>46082</v>
      </c>
      <c r="AI53" s="97" t="e">
        <f>SUMIFS([1]!tblActvChurn[POINTS],[1]!tblActvChurn[MONTH],$AH53,[1]!tblActvChurn[KPI],AI$51,[1]!tblActvChurn[VERTICAL],$AM$19)</f>
        <v>#REF!</v>
      </c>
      <c r="AJ53" s="97" t="e">
        <f>-SUMIFS([1]!tblActvChurn[POINTS],[1]!tblActvChurn[MONTH],$AH53,[1]!tblActvChurn[KPI],AJ$51,[1]!tblActvChurn[VERTICAL],$AM$19)</f>
        <v>#REF!</v>
      </c>
      <c r="AK53" s="97" t="e">
        <f>SUMIFS([1]!tblActvChurn[POINTS],[1]!tblActvChurn[MONTH],$AH53,[1]!tblActvChurn[KPI],AK$51,[1]!tblActvChurn[VERTICAL],$AM$19)</f>
        <v>#REF!</v>
      </c>
      <c r="AL53" s="97" t="e">
        <f>SUMIFS([1]!tblFixedNetMRC[NET_MRC],[1]!tblFixedNetMRC[MONTH],$AH53,[1]!tblFixedNetMRC[KPI],AL$51,[1]!tblFixedNetMRC[VERTICAL],$AM$19)</f>
        <v>#REF!</v>
      </c>
      <c r="AM53" s="97" t="e">
        <f>SUMIFS([1]!tblFixedNetMRC[NET_MRC],[1]!tblFixedNetMRC[MONTH],$AH53,[1]!tblFixedNetMRC[KPI],AM$51,[1]!tblFixedNetMRC[VERTICAL],$AM$19)</f>
        <v>#REF!</v>
      </c>
      <c r="AN53" s="97" t="e">
        <f>SUMIFS([1]!tblFixedNetMRC[NET_MRC],[1]!tblFixedNetMRC[MONTH],$AH53,[1]!tblFixedNetMRC[KPI],AN$51,[1]!tblFixedNetMRC[VERTICAL],$AM$19)</f>
        <v>#REF!</v>
      </c>
      <c r="AO53" s="97" t="e">
        <f>SUMIFS([1]!tblActvChurn[POINTS],[1]!tblActvChurn[MONTH],$AH53,[1]!tblActvChurn[KPI],AO$51,[1]!tblActvChurn[VERTICAL],$AM$19)</f>
        <v>#REF!</v>
      </c>
      <c r="AP53" s="97" t="e">
        <f>SUMIFS([1]!tblActvChurn[POINTS],[1]!tblActvChurn[MONTH],$AH53,[1]!tblActvChurn[KPI],AP$51,[1]!tblActvChurn[VERTICAL],$AM$19)</f>
        <v>#REF!</v>
      </c>
      <c r="AQ53" s="52"/>
      <c r="AR53" s="52"/>
      <c r="AS53" s="52"/>
      <c r="AT53" s="52"/>
      <c r="AU53" s="52"/>
      <c r="AV53" s="52"/>
      <c r="BM53" s="41"/>
      <c r="BO53" s="45" t="str">
        <f t="shared" si="26"/>
        <v>Abraham Cherian</v>
      </c>
      <c r="BP53" s="51" t="e">
        <f>SUMIFS([1]!tblActvChurn[LINES],[1]!tblActvChurn[MONTH],DATE(YEAR($C$1),MONTH($C$1),1),[1]!tblActvChurn[KPI],$BP$47,[1]!tblActvChurn[VERTICAL],$BO$10,[1]!tblActvChurn[AM],$BO53,[1]!tblActvChurn[RATEPLAN_TYPE],"Postpaid",[1]!tblActvChurn[PG_TYPE],BP$11)</f>
        <v>#REF!</v>
      </c>
      <c r="BQ53" s="51" t="e">
        <f>SUMIFS([1]!tblActvChurn[LINES],[1]!tblActvChurn[MONTH],DATE(YEAR($C$1),MONTH($C$1),1),[1]!tblActvChurn[KPI],$BP$47,[1]!tblActvChurn[VERTICAL],$BO$10,[1]!tblActvChurn[AM],$BO53,[1]!tblActvChurn[RATEPLAN_TYPE],"Postpaid",[1]!tblActvChurn[PG_TYPE],BQ$11)</f>
        <v>#REF!</v>
      </c>
      <c r="BR53" s="51" t="e">
        <f t="shared" si="27"/>
        <v>#REF!</v>
      </c>
      <c r="BS53" s="51" t="e">
        <f>SUMIFS([1]!tblActvChurn[LINES],[1]!tblActvChurn[MONTH],DATE(YEAR($C$1),MONTH($C$1),1),[1]!tblActvChurn[KPI],$BS$47,[1]!tblActvChurn[VERTICAL],$BO$10,[1]!tblActvChurn[AM],$BO53,[1]!tblActvChurn[RATEPLAN_TYPE],"Postpaid",[1]!tblActvChurn[PG_TYPE],BS$11)</f>
        <v>#REF!</v>
      </c>
      <c r="BT53" s="51" t="e">
        <f>SUMIFS([1]!tblActvChurn[LINES],[1]!tblActvChurn[MONTH],DATE(YEAR($C$1),MONTH($C$1),1),[1]!tblActvChurn[KPI],$BS$47,[1]!tblActvChurn[VERTICAL],$BO$10,[1]!tblActvChurn[AM],$BO53,[1]!tblActvChurn[RATEPLAN_TYPE],"Postpaid",[1]!tblActvChurn[PG_TYPE],BT$11)</f>
        <v>#REF!</v>
      </c>
      <c r="BU53" s="51" t="e">
        <f t="shared" si="28"/>
        <v>#REF!</v>
      </c>
      <c r="BV53" s="51" t="e">
        <f>SUMIFS([1]!tblActvChurn[LINES],[1]!tblActvChurn[MONTH],DATE(YEAR($C$1),MONTH($C$1),1),[1]!tblActvChurn[KPI],$BV$47,[1]!tblActvChurn[VERTICAL],$BO$10,[1]!tblActvChurn[AM],$BO53,[1]!tblActvChurn[RATEPLAN_TYPE],"Postpaid",[1]!tblActvChurn[PG_TYPE],BV$11)</f>
        <v>#REF!</v>
      </c>
      <c r="BW53" s="51" t="e">
        <f>SUMIFS([1]!tblActvChurn[LINES],[1]!tblActvChurn[MONTH],DATE(YEAR($C$1),MONTH($C$1),1),[1]!tblActvChurn[KPI],$BV$47,[1]!tblActvChurn[VERTICAL],$BO$10,[1]!tblActvChurn[AM],$BO53,[1]!tblActvChurn[RATEPLAN_TYPE],"Postpaid",[1]!tblActvChurn[PG_TYPE],BW$11)</f>
        <v>#REF!</v>
      </c>
      <c r="BX53" s="51" t="e">
        <f t="shared" si="29"/>
        <v>#REF!</v>
      </c>
      <c r="BY53" s="52"/>
      <c r="BZ53" s="52"/>
      <c r="CA53" s="52"/>
      <c r="CB53" s="52"/>
      <c r="CG53" s="40"/>
    </row>
    <row r="54" spans="1:85">
      <c r="AE54" s="27"/>
      <c r="AH54" s="75">
        <f>DATE(YEAR($C$1),MONTH($C$1)-3,1)</f>
        <v>46113</v>
      </c>
      <c r="AI54" s="97" t="e">
        <f>SUMIFS([1]!tblActvChurn[POINTS],[1]!tblActvChurn[MONTH],$AH54,[1]!tblActvChurn[KPI],AI$51,[1]!tblActvChurn[VERTICAL],$AM$19)</f>
        <v>#REF!</v>
      </c>
      <c r="AJ54" s="97" t="e">
        <f>-SUMIFS([1]!tblActvChurn[POINTS],[1]!tblActvChurn[MONTH],$AH54,[1]!tblActvChurn[KPI],AJ$51,[1]!tblActvChurn[VERTICAL],$AM$19)</f>
        <v>#REF!</v>
      </c>
      <c r="AK54" s="97" t="e">
        <f>SUMIFS([1]!tblActvChurn[POINTS],[1]!tblActvChurn[MONTH],$AH54,[1]!tblActvChurn[KPI],AK$51,[1]!tblActvChurn[VERTICAL],$AM$19)</f>
        <v>#REF!</v>
      </c>
      <c r="AL54" s="97" t="e">
        <f>SUMIFS([1]!tblFixedNetMRC[NET_MRC],[1]!tblFixedNetMRC[MONTH],$AH54,[1]!tblFixedNetMRC[KPI],AL$51,[1]!tblFixedNetMRC[VERTICAL],$AM$19)</f>
        <v>#REF!</v>
      </c>
      <c r="AM54" s="97" t="e">
        <f>SUMIFS([1]!tblFixedNetMRC[NET_MRC],[1]!tblFixedNetMRC[MONTH],$AH54,[1]!tblFixedNetMRC[KPI],AM$51,[1]!tblFixedNetMRC[VERTICAL],$AM$19)</f>
        <v>#REF!</v>
      </c>
      <c r="AN54" s="97" t="e">
        <f>SUMIFS([1]!tblFixedNetMRC[NET_MRC],[1]!tblFixedNetMRC[MONTH],$AH54,[1]!tblFixedNetMRC[KPI],AN$51,[1]!tblFixedNetMRC[VERTICAL],$AM$19)</f>
        <v>#REF!</v>
      </c>
      <c r="AO54" s="97" t="e">
        <f>SUMIFS([1]!tblActvChurn[POINTS],[1]!tblActvChurn[MONTH],$AH54,[1]!tblActvChurn[KPI],AO$51,[1]!tblActvChurn[VERTICAL],$AM$19)</f>
        <v>#REF!</v>
      </c>
      <c r="AP54" s="97" t="e">
        <f>SUMIFS([1]!tblActvChurn[POINTS],[1]!tblActvChurn[MONTH],$AH54,[1]!tblActvChurn[KPI],AP$51,[1]!tblActvChurn[VERTICAL],$AM$19)</f>
        <v>#REF!</v>
      </c>
      <c r="AQ54" s="52"/>
      <c r="AR54" s="52"/>
      <c r="AS54" s="52"/>
      <c r="AT54" s="52"/>
      <c r="AU54" s="52"/>
      <c r="AV54" s="52"/>
      <c r="BM54" s="41"/>
      <c r="BO54" s="45" t="str">
        <f t="shared" si="26"/>
        <v>Arjun Subaraman</v>
      </c>
      <c r="BP54" s="51" t="e">
        <f>SUMIFS([1]!tblActvChurn[LINES],[1]!tblActvChurn[MONTH],DATE(YEAR($C$1),MONTH($C$1),1),[1]!tblActvChurn[KPI],$BP$47,[1]!tblActvChurn[VERTICAL],$BO$10,[1]!tblActvChurn[AM],$BO54,[1]!tblActvChurn[RATEPLAN_TYPE],"Postpaid",[1]!tblActvChurn[PG_TYPE],BP$11)</f>
        <v>#REF!</v>
      </c>
      <c r="BQ54" s="51" t="e">
        <f>SUMIFS([1]!tblActvChurn[LINES],[1]!tblActvChurn[MONTH],DATE(YEAR($C$1),MONTH($C$1),1),[1]!tblActvChurn[KPI],$BP$47,[1]!tblActvChurn[VERTICAL],$BO$10,[1]!tblActvChurn[AM],$BO54,[1]!tblActvChurn[RATEPLAN_TYPE],"Postpaid",[1]!tblActvChurn[PG_TYPE],BQ$11)</f>
        <v>#REF!</v>
      </c>
      <c r="BR54" s="51" t="e">
        <f t="shared" si="27"/>
        <v>#REF!</v>
      </c>
      <c r="BS54" s="51" t="e">
        <f>SUMIFS([1]!tblActvChurn[LINES],[1]!tblActvChurn[MONTH],DATE(YEAR($C$1),MONTH($C$1),1),[1]!tblActvChurn[KPI],$BS$47,[1]!tblActvChurn[VERTICAL],$BO$10,[1]!tblActvChurn[AM],$BO54,[1]!tblActvChurn[RATEPLAN_TYPE],"Postpaid",[1]!tblActvChurn[PG_TYPE],BS$11)</f>
        <v>#REF!</v>
      </c>
      <c r="BT54" s="51" t="e">
        <f>SUMIFS([1]!tblActvChurn[LINES],[1]!tblActvChurn[MONTH],DATE(YEAR($C$1),MONTH($C$1),1),[1]!tblActvChurn[KPI],$BS$47,[1]!tblActvChurn[VERTICAL],$BO$10,[1]!tblActvChurn[AM],$BO54,[1]!tblActvChurn[RATEPLAN_TYPE],"Postpaid",[1]!tblActvChurn[PG_TYPE],BT$11)</f>
        <v>#REF!</v>
      </c>
      <c r="BU54" s="51" t="e">
        <f t="shared" si="28"/>
        <v>#REF!</v>
      </c>
      <c r="BV54" s="51" t="e">
        <f>SUMIFS([1]!tblActvChurn[LINES],[1]!tblActvChurn[MONTH],DATE(YEAR($C$1),MONTH($C$1),1),[1]!tblActvChurn[KPI],$BV$47,[1]!tblActvChurn[VERTICAL],$BO$10,[1]!tblActvChurn[AM],$BO54,[1]!tblActvChurn[RATEPLAN_TYPE],"Postpaid",[1]!tblActvChurn[PG_TYPE],BV$11)</f>
        <v>#REF!</v>
      </c>
      <c r="BW54" s="51" t="e">
        <f>SUMIFS([1]!tblActvChurn[LINES],[1]!tblActvChurn[MONTH],DATE(YEAR($C$1),MONTH($C$1),1),[1]!tblActvChurn[KPI],$BV$47,[1]!tblActvChurn[VERTICAL],$BO$10,[1]!tblActvChurn[AM],$BO54,[1]!tblActvChurn[RATEPLAN_TYPE],"Postpaid",[1]!tblActvChurn[PG_TYPE],BW$11)</f>
        <v>#REF!</v>
      </c>
      <c r="BX54" s="51" t="e">
        <f t="shared" si="29"/>
        <v>#REF!</v>
      </c>
      <c r="BY54" s="52"/>
      <c r="BZ54" s="52"/>
      <c r="CA54" s="52"/>
      <c r="CB54" s="52"/>
      <c r="CG54" s="40"/>
    </row>
    <row r="55" spans="1:85" ht="14.1" customHeight="1">
      <c r="AE55" s="27"/>
      <c r="AH55" s="75">
        <f>DATE(YEAR($C$1),MONTH($C$1)-2,1)</f>
        <v>46143</v>
      </c>
      <c r="AI55" s="97" t="e">
        <f>SUMIFS([1]!tblActvChurn[POINTS],[1]!tblActvChurn[MONTH],$AH55,[1]!tblActvChurn[KPI],AI$51,[1]!tblActvChurn[VERTICAL],$AM$19)</f>
        <v>#REF!</v>
      </c>
      <c r="AJ55" s="97" t="e">
        <f>-SUMIFS([1]!tblActvChurn[POINTS],[1]!tblActvChurn[MONTH],$AH55,[1]!tblActvChurn[KPI],AJ$51,[1]!tblActvChurn[VERTICAL],$AM$19)</f>
        <v>#REF!</v>
      </c>
      <c r="AK55" s="97" t="e">
        <f>SUMIFS([1]!tblActvChurn[POINTS],[1]!tblActvChurn[MONTH],$AH55,[1]!tblActvChurn[KPI],AK$51,[1]!tblActvChurn[VERTICAL],$AM$19)</f>
        <v>#REF!</v>
      </c>
      <c r="AL55" s="97" t="e">
        <f>SUMIFS([1]!tblFixedNetMRC[NET_MRC],[1]!tblFixedNetMRC[MONTH],$AH55,[1]!tblFixedNetMRC[KPI],AL$51,[1]!tblFixedNetMRC[VERTICAL],$AM$19)</f>
        <v>#REF!</v>
      </c>
      <c r="AM55" s="97" t="e">
        <f>SUMIFS([1]!tblFixedNetMRC[NET_MRC],[1]!tblFixedNetMRC[MONTH],$AH55,[1]!tblFixedNetMRC[KPI],AM$51,[1]!tblFixedNetMRC[VERTICAL],$AM$19)</f>
        <v>#REF!</v>
      </c>
      <c r="AN55" s="97" t="e">
        <f>SUMIFS([1]!tblFixedNetMRC[NET_MRC],[1]!tblFixedNetMRC[MONTH],$AH55,[1]!tblFixedNetMRC[KPI],AN$51,[1]!tblFixedNetMRC[VERTICAL],$AM$19)</f>
        <v>#REF!</v>
      </c>
      <c r="AO55" s="97" t="e">
        <f>SUMIFS([1]!tblActvChurn[POINTS],[1]!tblActvChurn[MONTH],$AH55,[1]!tblActvChurn[KPI],AO$51,[1]!tblActvChurn[VERTICAL],$AM$19)</f>
        <v>#REF!</v>
      </c>
      <c r="AP55" s="97" t="e">
        <f>SUMIFS([1]!tblActvChurn[POINTS],[1]!tblActvChurn[MONTH],$AH55,[1]!tblActvChurn[KPI],AP$51,[1]!tblActvChurn[VERTICAL],$AM$19)</f>
        <v>#REF!</v>
      </c>
      <c r="BM55" s="41"/>
      <c r="BO55" s="45" t="str">
        <f t="shared" si="26"/>
        <v>Ehab Hajou</v>
      </c>
      <c r="BP55" s="51" t="e">
        <f>SUMIFS([1]!tblActvChurn[LINES],[1]!tblActvChurn[MONTH],DATE(YEAR($C$1),MONTH($C$1),1),[1]!tblActvChurn[KPI],$BP$47,[1]!tblActvChurn[VERTICAL],$BO$10,[1]!tblActvChurn[AM],$BO55,[1]!tblActvChurn[RATEPLAN_TYPE],"Postpaid",[1]!tblActvChurn[PG_TYPE],BP$11)</f>
        <v>#REF!</v>
      </c>
      <c r="BQ55" s="51" t="e">
        <f>SUMIFS([1]!tblActvChurn[LINES],[1]!tblActvChurn[MONTH],DATE(YEAR($C$1),MONTH($C$1),1),[1]!tblActvChurn[KPI],$BP$47,[1]!tblActvChurn[VERTICAL],$BO$10,[1]!tblActvChurn[AM],$BO55,[1]!tblActvChurn[RATEPLAN_TYPE],"Postpaid",[1]!tblActvChurn[PG_TYPE],BQ$11)</f>
        <v>#REF!</v>
      </c>
      <c r="BR55" s="51" t="e">
        <f t="shared" si="27"/>
        <v>#REF!</v>
      </c>
      <c r="BS55" s="51" t="e">
        <f>SUMIFS([1]!tblActvChurn[LINES],[1]!tblActvChurn[MONTH],DATE(YEAR($C$1),MONTH($C$1),1),[1]!tblActvChurn[KPI],$BS$47,[1]!tblActvChurn[VERTICAL],$BO$10,[1]!tblActvChurn[AM],$BO55,[1]!tblActvChurn[RATEPLAN_TYPE],"Postpaid",[1]!tblActvChurn[PG_TYPE],BS$11)</f>
        <v>#REF!</v>
      </c>
      <c r="BT55" s="51" t="e">
        <f>SUMIFS([1]!tblActvChurn[LINES],[1]!tblActvChurn[MONTH],DATE(YEAR($C$1),MONTH($C$1),1),[1]!tblActvChurn[KPI],$BS$47,[1]!tblActvChurn[VERTICAL],$BO$10,[1]!tblActvChurn[AM],$BO55,[1]!tblActvChurn[RATEPLAN_TYPE],"Postpaid",[1]!tblActvChurn[PG_TYPE],BT$11)</f>
        <v>#REF!</v>
      </c>
      <c r="BU55" s="51" t="e">
        <f t="shared" si="28"/>
        <v>#REF!</v>
      </c>
      <c r="BV55" s="51" t="e">
        <f>SUMIFS([1]!tblActvChurn[LINES],[1]!tblActvChurn[MONTH],DATE(YEAR($C$1),MONTH($C$1),1),[1]!tblActvChurn[KPI],$BV$47,[1]!tblActvChurn[VERTICAL],$BO$10,[1]!tblActvChurn[AM],$BO55,[1]!tblActvChurn[RATEPLAN_TYPE],"Postpaid",[1]!tblActvChurn[PG_TYPE],BV$11)</f>
        <v>#REF!</v>
      </c>
      <c r="BW55" s="51" t="e">
        <f>SUMIFS([1]!tblActvChurn[LINES],[1]!tblActvChurn[MONTH],DATE(YEAR($C$1),MONTH($C$1),1),[1]!tblActvChurn[KPI],$BV$47,[1]!tblActvChurn[VERTICAL],$BO$10,[1]!tblActvChurn[AM],$BO55,[1]!tblActvChurn[RATEPLAN_TYPE],"Postpaid",[1]!tblActvChurn[PG_TYPE],BW$11)</f>
        <v>#REF!</v>
      </c>
      <c r="BX55" s="51" t="e">
        <f t="shared" si="29"/>
        <v>#REF!</v>
      </c>
      <c r="BY55" s="52"/>
      <c r="BZ55" s="52"/>
      <c r="CA55" s="52"/>
      <c r="CB55" s="52"/>
      <c r="CG55" s="40"/>
    </row>
    <row r="56" spans="1:85">
      <c r="AE56" s="27"/>
      <c r="AH56" s="75">
        <f>DATE(YEAR($C$1),MONTH($C$1)-1,1)</f>
        <v>46174</v>
      </c>
      <c r="AI56" s="97" t="e">
        <f>SUMIFS([1]!tblActvChurn[POINTS],[1]!tblActvChurn[MONTH],$AH56,[1]!tblActvChurn[KPI],AI$51,[1]!tblActvChurn[VERTICAL],$AM$20)</f>
        <v>#REF!</v>
      </c>
      <c r="AJ56" s="97" t="e">
        <f>-SUMIFS([1]!tblActvChurn[POINTS],[1]!tblActvChurn[MONTH],$AH56,[1]!tblActvChurn[KPI],AJ$51,[1]!tblActvChurn[VERTICAL],$AM$20)</f>
        <v>#REF!</v>
      </c>
      <c r="AK56" s="97" t="e">
        <f>SUMIFS([1]!tblActvChurn[POINTS],[1]!tblActvChurn[MONTH],$AH56,[1]!tblActvChurn[KPI],AK$51,[1]!tblActvChurn[VERTICAL],$AM$20)</f>
        <v>#REF!</v>
      </c>
      <c r="AL56" s="97" t="e">
        <f>SUMIFS([1]!tblFixedNetMRC[NET_MRC],[1]!tblFixedNetMRC[MONTH],$AH56,[1]!tblFixedNetMRC[KPI],AL$51,[1]!tblFixedNetMRC[VERTICAL],$AM$20)</f>
        <v>#REF!</v>
      </c>
      <c r="AM56" s="97" t="e">
        <f>SUMIFS([1]!tblFixedNetMRC[NET_MRC],[1]!tblFixedNetMRC[MONTH],$AH56,[1]!tblFixedNetMRC[KPI],AM$51,[1]!tblFixedNetMRC[VERTICAL],$AM$20)</f>
        <v>#REF!</v>
      </c>
      <c r="AN56" s="97" t="e">
        <f>SUMIFS([1]!tblFixedNetMRC[NET_MRC],[1]!tblFixedNetMRC[MONTH],$AH56,[1]!tblFixedNetMRC[KPI],AN$51,[1]!tblFixedNetMRC[VERTICAL],$AM$20)</f>
        <v>#REF!</v>
      </c>
      <c r="AO56" s="97" t="e">
        <f>SUMIFS([1]!tblActvChurn[POINTS],[1]!tblActvChurn[MONTH],$AH56,[1]!tblActvChurn[KPI],AO$51,[1]!tblActvChurn[VERTICAL],$AM$20)</f>
        <v>#REF!</v>
      </c>
      <c r="AP56" s="97" t="e">
        <f>SUMIFS([1]!tblActvChurn[POINTS],[1]!tblActvChurn[MONTH],$AH56,[1]!tblActvChurn[KPI],AP$51,[1]!tblActvChurn[VERTICAL],$AM$20)</f>
        <v>#REF!</v>
      </c>
      <c r="BM56" s="41"/>
      <c r="BO56" s="45" t="str">
        <f t="shared" si="26"/>
        <v>Ghassan Fouany</v>
      </c>
      <c r="BP56" s="51" t="e">
        <f>SUMIFS([1]!tblActvChurn[LINES],[1]!tblActvChurn[MONTH],DATE(YEAR($C$1),MONTH($C$1),1),[1]!tblActvChurn[KPI],$BP$47,[1]!tblActvChurn[VERTICAL],$BO$10,[1]!tblActvChurn[AM],$BO56,[1]!tblActvChurn[RATEPLAN_TYPE],"Postpaid",[1]!tblActvChurn[PG_TYPE],BP$11)</f>
        <v>#REF!</v>
      </c>
      <c r="BQ56" s="51" t="e">
        <f>SUMIFS([1]!tblActvChurn[LINES],[1]!tblActvChurn[MONTH],DATE(YEAR($C$1),MONTH($C$1),1),[1]!tblActvChurn[KPI],$BP$47,[1]!tblActvChurn[VERTICAL],$BO$10,[1]!tblActvChurn[AM],$BO56,[1]!tblActvChurn[RATEPLAN_TYPE],"Postpaid",[1]!tblActvChurn[PG_TYPE],BQ$11)</f>
        <v>#REF!</v>
      </c>
      <c r="BR56" s="51" t="e">
        <f t="shared" si="27"/>
        <v>#REF!</v>
      </c>
      <c r="BS56" s="51" t="e">
        <f>SUMIFS([1]!tblActvChurn[LINES],[1]!tblActvChurn[MONTH],DATE(YEAR($C$1),MONTH($C$1),1),[1]!tblActvChurn[KPI],$BS$47,[1]!tblActvChurn[VERTICAL],$BO$10,[1]!tblActvChurn[AM],$BO56,[1]!tblActvChurn[RATEPLAN_TYPE],"Postpaid",[1]!tblActvChurn[PG_TYPE],BS$11)</f>
        <v>#REF!</v>
      </c>
      <c r="BT56" s="51" t="e">
        <f>SUMIFS([1]!tblActvChurn[LINES],[1]!tblActvChurn[MONTH],DATE(YEAR($C$1),MONTH($C$1),1),[1]!tblActvChurn[KPI],$BS$47,[1]!tblActvChurn[VERTICAL],$BO$10,[1]!tblActvChurn[AM],$BO56,[1]!tblActvChurn[RATEPLAN_TYPE],"Postpaid",[1]!tblActvChurn[PG_TYPE],BT$11)</f>
        <v>#REF!</v>
      </c>
      <c r="BU56" s="51" t="e">
        <f t="shared" si="28"/>
        <v>#REF!</v>
      </c>
      <c r="BV56" s="51" t="e">
        <f>SUMIFS([1]!tblActvChurn[LINES],[1]!tblActvChurn[MONTH],DATE(YEAR($C$1),MONTH($C$1),1),[1]!tblActvChurn[KPI],$BV$47,[1]!tblActvChurn[VERTICAL],$BO$10,[1]!tblActvChurn[AM],$BO56,[1]!tblActvChurn[RATEPLAN_TYPE],"Postpaid",[1]!tblActvChurn[PG_TYPE],BV$11)</f>
        <v>#REF!</v>
      </c>
      <c r="BW56" s="51" t="e">
        <f>SUMIFS([1]!tblActvChurn[LINES],[1]!tblActvChurn[MONTH],DATE(YEAR($C$1),MONTH($C$1),1),[1]!tblActvChurn[KPI],$BV$47,[1]!tblActvChurn[VERTICAL],$BO$10,[1]!tblActvChurn[AM],$BO56,[1]!tblActvChurn[RATEPLAN_TYPE],"Postpaid",[1]!tblActvChurn[PG_TYPE],BW$11)</f>
        <v>#REF!</v>
      </c>
      <c r="BX56" s="51" t="e">
        <f t="shared" si="29"/>
        <v>#REF!</v>
      </c>
      <c r="BY56" s="52"/>
      <c r="BZ56" s="52"/>
      <c r="CA56" s="52"/>
      <c r="CB56" s="52"/>
      <c r="CG56" s="40"/>
    </row>
    <row r="57" spans="1:85">
      <c r="AE57" s="27"/>
      <c r="AH57" s="75">
        <f>DATE(YEAR($C$1),MONTH($C$1),1)</f>
        <v>46204</v>
      </c>
      <c r="AI57" s="97" t="e">
        <f>SUMIFS([1]!tblActvChurn[POINTS],[1]!tblActvChurn[MONTH],$AH57,[1]!tblActvChurn[KPI],AI$51,[1]!tblActvChurn[VERTICAL],$AM$20)</f>
        <v>#REF!</v>
      </c>
      <c r="AJ57" s="97" t="e">
        <f>-SUMIFS([1]!tblActvChurn[POINTS],[1]!tblActvChurn[MONTH],$AH57,[1]!tblActvChurn[KPI],AJ$51,[1]!tblActvChurn[VERTICAL],$AM$20)</f>
        <v>#REF!</v>
      </c>
      <c r="AK57" s="97" t="e">
        <f>SUMIFS([1]!tblActvChurn[POINTS],[1]!tblActvChurn[MONTH],$AH57,[1]!tblActvChurn[KPI],AK$51,[1]!tblActvChurn[VERTICAL],$AM$20)</f>
        <v>#REF!</v>
      </c>
      <c r="AL57" s="97" t="e">
        <f>SUMIFS([1]!tblFixedNetMRC[NET_MRC],[1]!tblFixedNetMRC[MONTH],$AH57,[1]!tblFixedNetMRC[KPI],AL$51,[1]!tblFixedNetMRC[VERTICAL],$AM$20)</f>
        <v>#REF!</v>
      </c>
      <c r="AM57" s="97" t="e">
        <f>SUMIFS([1]!tblFixedNetMRC[NET_MRC],[1]!tblFixedNetMRC[MONTH],$AH57,[1]!tblFixedNetMRC[KPI],AM$51,[1]!tblFixedNetMRC[VERTICAL],$AM$20)</f>
        <v>#REF!</v>
      </c>
      <c r="AN57" s="97" t="e">
        <f>SUMIFS([1]!tblFixedNetMRC[NET_MRC],[1]!tblFixedNetMRC[MONTH],$AH57,[1]!tblFixedNetMRC[KPI],AN$51,[1]!tblFixedNetMRC[VERTICAL],$AM$20)</f>
        <v>#REF!</v>
      </c>
      <c r="AO57" s="97" t="e">
        <f>SUMIFS([1]!tblActvChurn[POINTS],[1]!tblActvChurn[MONTH],$AH57,[1]!tblActvChurn[KPI],AO$51,[1]!tblActvChurn[VERTICAL],$AM$20)</f>
        <v>#REF!</v>
      </c>
      <c r="AP57" s="97" t="e">
        <f>SUMIFS([1]!tblActvChurn[POINTS],[1]!tblActvChurn[MONTH],$AH57,[1]!tblActvChurn[KPI],AP$51,[1]!tblActvChurn[VERTICAL],$AM$20)</f>
        <v>#REF!</v>
      </c>
      <c r="BM57" s="41"/>
      <c r="BO57" s="45" t="str">
        <f t="shared" si="26"/>
        <v>Inayat Fazili</v>
      </c>
      <c r="BP57" s="51" t="e">
        <f>SUMIFS([1]!tblActvChurn[LINES],[1]!tblActvChurn[MONTH],DATE(YEAR($C$1),MONTH($C$1),1),[1]!tblActvChurn[KPI],$BP$47,[1]!tblActvChurn[VERTICAL],$BO$10,[1]!tblActvChurn[AM],$BO57,[1]!tblActvChurn[RATEPLAN_TYPE],"Postpaid",[1]!tblActvChurn[PG_TYPE],BP$11)</f>
        <v>#REF!</v>
      </c>
      <c r="BQ57" s="51" t="e">
        <f>SUMIFS([1]!tblActvChurn[LINES],[1]!tblActvChurn[MONTH],DATE(YEAR($C$1),MONTH($C$1),1),[1]!tblActvChurn[KPI],$BP$47,[1]!tblActvChurn[VERTICAL],$BO$10,[1]!tblActvChurn[AM],$BO57,[1]!tblActvChurn[RATEPLAN_TYPE],"Postpaid",[1]!tblActvChurn[PG_TYPE],BQ$11)</f>
        <v>#REF!</v>
      </c>
      <c r="BR57" s="51" t="e">
        <f t="shared" si="27"/>
        <v>#REF!</v>
      </c>
      <c r="BS57" s="51" t="e">
        <f>SUMIFS([1]!tblActvChurn[LINES],[1]!tblActvChurn[MONTH],DATE(YEAR($C$1),MONTH($C$1),1),[1]!tblActvChurn[KPI],$BS$47,[1]!tblActvChurn[VERTICAL],$BO$10,[1]!tblActvChurn[AM],$BO57,[1]!tblActvChurn[RATEPLAN_TYPE],"Postpaid",[1]!tblActvChurn[PG_TYPE],BS$11)</f>
        <v>#REF!</v>
      </c>
      <c r="BT57" s="51" t="e">
        <f>SUMIFS([1]!tblActvChurn[LINES],[1]!tblActvChurn[MONTH],DATE(YEAR($C$1),MONTH($C$1),1),[1]!tblActvChurn[KPI],$BS$47,[1]!tblActvChurn[VERTICAL],$BO$10,[1]!tblActvChurn[AM],$BO57,[1]!tblActvChurn[RATEPLAN_TYPE],"Postpaid",[1]!tblActvChurn[PG_TYPE],BT$11)</f>
        <v>#REF!</v>
      </c>
      <c r="BU57" s="51" t="e">
        <f t="shared" si="28"/>
        <v>#REF!</v>
      </c>
      <c r="BV57" s="51" t="e">
        <f>SUMIFS([1]!tblActvChurn[LINES],[1]!tblActvChurn[MONTH],DATE(YEAR($C$1),MONTH($C$1),1),[1]!tblActvChurn[KPI],$BV$47,[1]!tblActvChurn[VERTICAL],$BO$10,[1]!tblActvChurn[AM],$BO57,[1]!tblActvChurn[RATEPLAN_TYPE],"Postpaid",[1]!tblActvChurn[PG_TYPE],BV$11)</f>
        <v>#REF!</v>
      </c>
      <c r="BW57" s="51" t="e">
        <f>SUMIFS([1]!tblActvChurn[LINES],[1]!tblActvChurn[MONTH],DATE(YEAR($C$1),MONTH($C$1),1),[1]!tblActvChurn[KPI],$BV$47,[1]!tblActvChurn[VERTICAL],$BO$10,[1]!tblActvChurn[AM],$BO57,[1]!tblActvChurn[RATEPLAN_TYPE],"Postpaid",[1]!tblActvChurn[PG_TYPE],BW$11)</f>
        <v>#REF!</v>
      </c>
      <c r="BX57" s="51" t="e">
        <f t="shared" si="29"/>
        <v>#REF!</v>
      </c>
      <c r="BY57" s="94"/>
      <c r="BZ57" s="94"/>
      <c r="CA57" s="94"/>
      <c r="CB57" s="52"/>
      <c r="CG57" s="40"/>
    </row>
    <row r="58" spans="1:85">
      <c r="AE58" s="27"/>
      <c r="BM58" s="41"/>
      <c r="BO58" s="45" t="str">
        <f t="shared" si="26"/>
        <v>Mohamad Labban</v>
      </c>
      <c r="BP58" s="51" t="e">
        <f>SUMIFS([1]!tblActvChurn[LINES],[1]!tblActvChurn[MONTH],DATE(YEAR($C$1),MONTH($C$1),1),[1]!tblActvChurn[KPI],$BP$47,[1]!tblActvChurn[VERTICAL],$BO$10,[1]!tblActvChurn[AM],$BO58,[1]!tblActvChurn[RATEPLAN_TYPE],"Postpaid",[1]!tblActvChurn[PG_TYPE],BP$11)</f>
        <v>#REF!</v>
      </c>
      <c r="BQ58" s="51" t="e">
        <f>SUMIFS([1]!tblActvChurn[LINES],[1]!tblActvChurn[MONTH],DATE(YEAR($C$1),MONTH($C$1),1),[1]!tblActvChurn[KPI],$BP$47,[1]!tblActvChurn[VERTICAL],$BO$10,[1]!tblActvChurn[AM],$BO58,[1]!tblActvChurn[RATEPLAN_TYPE],"Postpaid",[1]!tblActvChurn[PG_TYPE],BQ$11)</f>
        <v>#REF!</v>
      </c>
      <c r="BR58" s="51" t="e">
        <f t="shared" si="27"/>
        <v>#REF!</v>
      </c>
      <c r="BS58" s="51" t="e">
        <f>SUMIFS([1]!tblActvChurn[LINES],[1]!tblActvChurn[MONTH],DATE(YEAR($C$1),MONTH($C$1),1),[1]!tblActvChurn[KPI],$BS$47,[1]!tblActvChurn[VERTICAL],$BO$10,[1]!tblActvChurn[AM],$BO58,[1]!tblActvChurn[RATEPLAN_TYPE],"Postpaid",[1]!tblActvChurn[PG_TYPE],BS$11)</f>
        <v>#REF!</v>
      </c>
      <c r="BT58" s="51" t="e">
        <f>SUMIFS([1]!tblActvChurn[LINES],[1]!tblActvChurn[MONTH],DATE(YEAR($C$1),MONTH($C$1),1),[1]!tblActvChurn[KPI],$BS$47,[1]!tblActvChurn[VERTICAL],$BO$10,[1]!tblActvChurn[AM],$BO58,[1]!tblActvChurn[RATEPLAN_TYPE],"Postpaid",[1]!tblActvChurn[PG_TYPE],BT$11)</f>
        <v>#REF!</v>
      </c>
      <c r="BU58" s="51" t="e">
        <f t="shared" si="28"/>
        <v>#REF!</v>
      </c>
      <c r="BV58" s="51" t="e">
        <f>SUMIFS([1]!tblActvChurn[LINES],[1]!tblActvChurn[MONTH],DATE(YEAR($C$1),MONTH($C$1),1),[1]!tblActvChurn[KPI],$BV$47,[1]!tblActvChurn[VERTICAL],$BO$10,[1]!tblActvChurn[AM],$BO58,[1]!tblActvChurn[RATEPLAN_TYPE],"Postpaid",[1]!tblActvChurn[PG_TYPE],BV$11)</f>
        <v>#REF!</v>
      </c>
      <c r="BW58" s="51" t="e">
        <f>SUMIFS([1]!tblActvChurn[LINES],[1]!tblActvChurn[MONTH],DATE(YEAR($C$1),MONTH($C$1),1),[1]!tblActvChurn[KPI],$BV$47,[1]!tblActvChurn[VERTICAL],$BO$10,[1]!tblActvChurn[AM],$BO58,[1]!tblActvChurn[RATEPLAN_TYPE],"Postpaid",[1]!tblActvChurn[PG_TYPE],BW$11)</f>
        <v>#REF!</v>
      </c>
      <c r="BX58" s="51" t="e">
        <f t="shared" si="29"/>
        <v>#REF!</v>
      </c>
      <c r="BY58" s="94"/>
      <c r="BZ58" s="94"/>
      <c r="CA58" s="94"/>
      <c r="CB58" s="52"/>
      <c r="CG58" s="40"/>
    </row>
    <row r="59" spans="1:85">
      <c r="AE59" s="27"/>
      <c r="BM59" s="41"/>
      <c r="BO59" s="45" t="e">
        <f t="shared" si="26"/>
        <v>#REF!</v>
      </c>
      <c r="BP59" s="51" t="e">
        <f>SUMIFS([1]!tblActvChurn[LINES],[1]!tblActvChurn[MONTH],DATE(YEAR($C$1),MONTH($C$1),1),[1]!tblActvChurn[KPI],$BP$47,[1]!tblActvChurn[VERTICAL],$BO$10,[1]!tblActvChurn[AM],$BO59,[1]!tblActvChurn[RATEPLAN_TYPE],"Postpaid",[1]!tblActvChurn[PG_TYPE],BP$11)</f>
        <v>#REF!</v>
      </c>
      <c r="BQ59" s="51" t="e">
        <f>SUMIFS([1]!tblActvChurn[LINES],[1]!tblActvChurn[MONTH],DATE(YEAR($C$1),MONTH($C$1),1),[1]!tblActvChurn[KPI],$BP$47,[1]!tblActvChurn[VERTICAL],$BO$10,[1]!tblActvChurn[AM],$BO59,[1]!tblActvChurn[RATEPLAN_TYPE],"Postpaid",[1]!tblActvChurn[PG_TYPE],BQ$11)</f>
        <v>#REF!</v>
      </c>
      <c r="BR59" s="51" t="e">
        <f t="shared" si="27"/>
        <v>#REF!</v>
      </c>
      <c r="BS59" s="51" t="e">
        <f>SUMIFS([1]!tblActvChurn[LINES],[1]!tblActvChurn[MONTH],DATE(YEAR($C$1),MONTH($C$1),1),[1]!tblActvChurn[KPI],$BS$47,[1]!tblActvChurn[VERTICAL],$BO$10,[1]!tblActvChurn[AM],$BO59,[1]!tblActvChurn[RATEPLAN_TYPE],"Postpaid",[1]!tblActvChurn[PG_TYPE],BS$11)</f>
        <v>#REF!</v>
      </c>
      <c r="BT59" s="51" t="e">
        <f>SUMIFS([1]!tblActvChurn[LINES],[1]!tblActvChurn[MONTH],DATE(YEAR($C$1),MONTH($C$1),1),[1]!tblActvChurn[KPI],$BS$47,[1]!tblActvChurn[VERTICAL],$BO$10,[1]!tblActvChurn[AM],$BO59,[1]!tblActvChurn[RATEPLAN_TYPE],"Postpaid",[1]!tblActvChurn[PG_TYPE],BT$11)</f>
        <v>#REF!</v>
      </c>
      <c r="BU59" s="51" t="e">
        <f t="shared" si="28"/>
        <v>#REF!</v>
      </c>
      <c r="BV59" s="51" t="e">
        <f>SUMIFS([1]!tblActvChurn[LINES],[1]!tblActvChurn[MONTH],DATE(YEAR($C$1),MONTH($C$1),1),[1]!tblActvChurn[KPI],$BV$47,[1]!tblActvChurn[VERTICAL],$BO$10,[1]!tblActvChurn[AM],$BO59,[1]!tblActvChurn[RATEPLAN_TYPE],"Postpaid",[1]!tblActvChurn[PG_TYPE],BV$11)</f>
        <v>#REF!</v>
      </c>
      <c r="BW59" s="51" t="e">
        <f>SUMIFS([1]!tblActvChurn[LINES],[1]!tblActvChurn[MONTH],DATE(YEAR($C$1),MONTH($C$1),1),[1]!tblActvChurn[KPI],$BV$47,[1]!tblActvChurn[VERTICAL],$BO$10,[1]!tblActvChurn[AM],$BO59,[1]!tblActvChurn[RATEPLAN_TYPE],"Postpaid",[1]!tblActvChurn[PG_TYPE],BW$11)</f>
        <v>#REF!</v>
      </c>
      <c r="BX59" s="51" t="e">
        <f t="shared" si="29"/>
        <v>#REF!</v>
      </c>
      <c r="BY59" s="94"/>
      <c r="BZ59" s="94"/>
      <c r="CA59" s="94"/>
      <c r="CB59" s="52"/>
      <c r="CG59" s="40"/>
    </row>
    <row r="60" spans="1:85">
      <c r="AE60" s="27"/>
      <c r="BM60" s="41"/>
      <c r="BO60" s="45" t="str">
        <f t="shared" si="26"/>
        <v>Nadeem Rasheed</v>
      </c>
      <c r="BP60" s="51" t="e">
        <f>SUMIFS([1]!tblActvChurn[LINES],[1]!tblActvChurn[MONTH],DATE(YEAR($C$1),MONTH($C$1),1),[1]!tblActvChurn[KPI],$BP$47,[1]!tblActvChurn[VERTICAL],$BO$10,[1]!tblActvChurn[AM],$BO60,[1]!tblActvChurn[RATEPLAN_TYPE],"Postpaid",[1]!tblActvChurn[PG_TYPE],BP$11)</f>
        <v>#REF!</v>
      </c>
      <c r="BQ60" s="51" t="e">
        <f>SUMIFS([1]!tblActvChurn[LINES],[1]!tblActvChurn[MONTH],DATE(YEAR($C$1),MONTH($C$1),1),[1]!tblActvChurn[KPI],$BP$47,[1]!tblActvChurn[VERTICAL],$BO$10,[1]!tblActvChurn[AM],$BO60,[1]!tblActvChurn[RATEPLAN_TYPE],"Postpaid",[1]!tblActvChurn[PG_TYPE],BQ$11)</f>
        <v>#REF!</v>
      </c>
      <c r="BR60" s="51" t="e">
        <f t="shared" si="27"/>
        <v>#REF!</v>
      </c>
      <c r="BS60" s="51" t="e">
        <f>SUMIFS([1]!tblActvChurn[LINES],[1]!tblActvChurn[MONTH],DATE(YEAR($C$1),MONTH($C$1),1),[1]!tblActvChurn[KPI],$BS$47,[1]!tblActvChurn[VERTICAL],$BO$10,[1]!tblActvChurn[AM],$BO60,[1]!tblActvChurn[RATEPLAN_TYPE],"Postpaid",[1]!tblActvChurn[PG_TYPE],BS$11)</f>
        <v>#REF!</v>
      </c>
      <c r="BT60" s="51" t="e">
        <f>SUMIFS([1]!tblActvChurn[LINES],[1]!tblActvChurn[MONTH],DATE(YEAR($C$1),MONTH($C$1),1),[1]!tblActvChurn[KPI],$BS$47,[1]!tblActvChurn[VERTICAL],$BO$10,[1]!tblActvChurn[AM],$BO60,[1]!tblActvChurn[RATEPLAN_TYPE],"Postpaid",[1]!tblActvChurn[PG_TYPE],BT$11)</f>
        <v>#REF!</v>
      </c>
      <c r="BU60" s="51" t="e">
        <f t="shared" si="28"/>
        <v>#REF!</v>
      </c>
      <c r="BV60" s="51" t="e">
        <f>SUMIFS([1]!tblActvChurn[LINES],[1]!tblActvChurn[MONTH],DATE(YEAR($C$1),MONTH($C$1),1),[1]!tblActvChurn[KPI],$BV$47,[1]!tblActvChurn[VERTICAL],$BO$10,[1]!tblActvChurn[AM],$BO60,[1]!tblActvChurn[RATEPLAN_TYPE],"Postpaid",[1]!tblActvChurn[PG_TYPE],BV$11)</f>
        <v>#REF!</v>
      </c>
      <c r="BW60" s="51" t="e">
        <f>SUMIFS([1]!tblActvChurn[LINES],[1]!tblActvChurn[MONTH],DATE(YEAR($C$1),MONTH($C$1),1),[1]!tblActvChurn[KPI],$BV$47,[1]!tblActvChurn[VERTICAL],$BO$10,[1]!tblActvChurn[AM],$BO60,[1]!tblActvChurn[RATEPLAN_TYPE],"Postpaid",[1]!tblActvChurn[PG_TYPE],BW$11)</f>
        <v>#REF!</v>
      </c>
      <c r="BX60" s="51" t="e">
        <f t="shared" si="29"/>
        <v>#REF!</v>
      </c>
      <c r="BY60" s="94"/>
      <c r="BZ60" s="94"/>
      <c r="CA60" s="94"/>
      <c r="CG60" s="40"/>
    </row>
    <row r="61" spans="1:85">
      <c r="AE61" s="27"/>
      <c r="BM61" s="41"/>
      <c r="BO61" s="45"/>
      <c r="BP61" s="51"/>
      <c r="BQ61" s="51"/>
      <c r="BR61" s="51"/>
      <c r="BS61" s="51"/>
      <c r="BT61" s="51"/>
      <c r="BU61" s="51"/>
      <c r="BV61" s="51"/>
      <c r="BW61" s="51"/>
      <c r="BX61" s="51"/>
      <c r="BY61" s="94"/>
      <c r="BZ61" s="94"/>
      <c r="CA61" s="94"/>
      <c r="CG61" s="40"/>
    </row>
    <row r="62" spans="1:85" ht="14.4" thickBot="1">
      <c r="AE62" s="27"/>
      <c r="BM62" s="41"/>
      <c r="BO62" s="98"/>
      <c r="BP62" s="51"/>
      <c r="BQ62" s="51"/>
      <c r="BR62" s="51"/>
      <c r="BS62" s="51"/>
      <c r="BT62" s="51"/>
      <c r="BU62" s="51"/>
      <c r="BV62" s="51"/>
      <c r="BW62" s="51"/>
      <c r="BX62" s="51"/>
      <c r="BY62" s="94"/>
      <c r="BZ62" s="94"/>
      <c r="CA62" s="94"/>
      <c r="CG62" s="40"/>
    </row>
    <row r="63" spans="1:85">
      <c r="AE63" s="27"/>
      <c r="BM63" s="41"/>
      <c r="BO63" s="99"/>
      <c r="BP63" s="51"/>
      <c r="BQ63" s="51"/>
      <c r="BR63" s="51"/>
      <c r="BS63" s="51"/>
      <c r="BT63" s="51"/>
      <c r="BU63" s="51"/>
      <c r="BV63" s="51"/>
      <c r="BW63" s="51"/>
      <c r="BX63" s="51"/>
      <c r="BY63" s="94"/>
      <c r="BZ63" s="94"/>
      <c r="CA63" s="94"/>
      <c r="CG63" s="40"/>
    </row>
    <row r="64" spans="1:85">
      <c r="AE64" s="27"/>
      <c r="BM64" s="41"/>
      <c r="BO64" s="82" t="s">
        <v>37</v>
      </c>
      <c r="BP64" s="83" t="e">
        <f t="shared" ref="BP64:BX64" si="30">SUM(BP52:BP63)</f>
        <v>#REF!</v>
      </c>
      <c r="BQ64" s="83" t="e">
        <f t="shared" si="30"/>
        <v>#REF!</v>
      </c>
      <c r="BR64" s="83" t="e">
        <f t="shared" si="30"/>
        <v>#REF!</v>
      </c>
      <c r="BS64" s="83" t="e">
        <f t="shared" si="30"/>
        <v>#REF!</v>
      </c>
      <c r="BT64" s="83" t="e">
        <f t="shared" si="30"/>
        <v>#REF!</v>
      </c>
      <c r="BU64" s="83" t="e">
        <f t="shared" si="30"/>
        <v>#REF!</v>
      </c>
      <c r="BV64" s="83" t="e">
        <f t="shared" si="30"/>
        <v>#REF!</v>
      </c>
      <c r="BW64" s="83" t="e">
        <f t="shared" si="30"/>
        <v>#REF!</v>
      </c>
      <c r="BX64" s="83" t="e">
        <f t="shared" si="30"/>
        <v>#REF!</v>
      </c>
      <c r="BY64" s="52"/>
      <c r="BZ64" s="52"/>
      <c r="CA64" s="52"/>
      <c r="CG64" s="40"/>
    </row>
    <row r="65" spans="31:85">
      <c r="AE65" s="27"/>
      <c r="BM65" s="41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G65" s="40"/>
    </row>
    <row r="66" spans="31:85">
      <c r="AE66" s="27"/>
      <c r="BJ66" s="52"/>
      <c r="BK66" s="52"/>
      <c r="BL66" s="52"/>
      <c r="BM66" s="52"/>
      <c r="BN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G66" s="40"/>
    </row>
    <row r="67" spans="31:85">
      <c r="AE67" s="27"/>
      <c r="BJ67" s="52"/>
      <c r="BK67" s="52"/>
      <c r="BL67" s="52"/>
      <c r="BM67" s="52"/>
      <c r="BN67" s="52"/>
      <c r="BO67" s="22" t="s">
        <v>29</v>
      </c>
      <c r="BP67" s="121" t="s">
        <v>43</v>
      </c>
      <c r="BQ67" s="122"/>
      <c r="BR67" s="122"/>
      <c r="BS67" s="122"/>
      <c r="BT67" s="122"/>
      <c r="BU67" s="122"/>
      <c r="BV67" s="122"/>
      <c r="BW67" s="122"/>
      <c r="BX67" s="122"/>
      <c r="BY67" s="52"/>
      <c r="BZ67" s="52"/>
      <c r="CA67" s="52"/>
      <c r="CG67" s="40"/>
    </row>
    <row r="68" spans="31:85">
      <c r="BO68" s="126" t="str">
        <f>BO47</f>
        <v>KEY-B</v>
      </c>
      <c r="BP68" s="47" t="s">
        <v>25</v>
      </c>
      <c r="BQ68" s="47"/>
      <c r="BR68" s="47"/>
      <c r="BS68" s="47" t="s">
        <v>26</v>
      </c>
      <c r="BT68" s="47"/>
      <c r="BU68" s="47"/>
      <c r="BV68" s="47" t="s">
        <v>42</v>
      </c>
      <c r="BW68" s="47"/>
      <c r="BX68" s="47"/>
      <c r="BY68" s="52"/>
      <c r="BZ68" s="52"/>
      <c r="CA68" s="52"/>
      <c r="CG68" s="40"/>
    </row>
    <row r="69" spans="31:85" ht="14.1" customHeight="1">
      <c r="BO69" s="127"/>
      <c r="BP69" s="87" t="s">
        <v>35</v>
      </c>
      <c r="BQ69" s="88" t="s">
        <v>36</v>
      </c>
      <c r="BR69" s="88" t="s">
        <v>37</v>
      </c>
      <c r="BS69" s="88" t="s">
        <v>35</v>
      </c>
      <c r="BT69" s="88" t="s">
        <v>36</v>
      </c>
      <c r="BU69" s="88" t="s">
        <v>37</v>
      </c>
      <c r="BV69" s="88" t="s">
        <v>35</v>
      </c>
      <c r="BW69" s="88" t="s">
        <v>36</v>
      </c>
      <c r="BX69" s="88" t="s">
        <v>37</v>
      </c>
      <c r="BY69" s="52"/>
      <c r="BZ69" s="52"/>
      <c r="CA69" s="52"/>
      <c r="CG69" s="40"/>
    </row>
    <row r="70" spans="31:85">
      <c r="BO70" s="45" t="str">
        <f>BO52</f>
        <v>Abdel Azim Sharabati</v>
      </c>
      <c r="BP70" s="51" t="e">
        <f>SUMIFS([1]!tblActvChurn[LINES],[1]!tblActvChurn[MONTH],DATE(YEAR($C$1),MONTH($C$1),1),[1]!tblActvChurn[KPI],$BP$47,[1]!tblActvChurn[VERTICAL],$BO$10,[1]!tblActvChurn[AM],$BO70,[1]!tblActvChurn[RATEPLAN_TYPE],"Prepaid",[1]!tblActvChurn[PG_TYPE],BP$11)</f>
        <v>#REF!</v>
      </c>
      <c r="BQ70" s="51" t="e">
        <f>SUMIFS([1]!tblActvChurn[LINES],[1]!tblActvChurn[MONTH],DATE(YEAR($C$1),MONTH($C$1),1),[1]!tblActvChurn[KPI],$BP$47,[1]!tblActvChurn[VERTICAL],$BO$10,[1]!tblActvChurn[AM],$BO70,[1]!tblActvChurn[RATEPLAN_TYPE],"Prepaid",[1]!tblActvChurn[PG_TYPE],BQ$11)</f>
        <v>#REF!</v>
      </c>
      <c r="BR70" s="51" t="e">
        <f t="shared" ref="BR70:BR78" si="31">SUM(BP70:BQ70)</f>
        <v>#REF!</v>
      </c>
      <c r="BS70" s="51" t="e">
        <f>SUMIFS([1]!tblActvChurn[LINES],[1]!tblActvChurn[MONTH],DATE(YEAR($C$1),MONTH($C$1),1),[1]!tblActvChurn[KPI],$BS$47,[1]!tblActvChurn[VERTICAL],$BO$10,[1]!tblActvChurn[AM],$BO70,[1]!tblActvChurn[RATEPLAN_TYPE],"Prepaid",[1]!tblActvChurn[PG_TYPE],BS$11)</f>
        <v>#REF!</v>
      </c>
      <c r="BT70" s="51" t="e">
        <f>SUMIFS([1]!tblActvChurn[LINES],[1]!tblActvChurn[MONTH],DATE(YEAR($C$1),MONTH($C$1),1),[1]!tblActvChurn[KPI],$BS$47,[1]!tblActvChurn[VERTICAL],$BO$10,[1]!tblActvChurn[AM],$BO70,[1]!tblActvChurn[RATEPLAN_TYPE],"Prepaid",[1]!tblActvChurn[PG_TYPE],BT$11)</f>
        <v>#REF!</v>
      </c>
      <c r="BU70" s="51" t="e">
        <f t="shared" ref="BU70:BU78" si="32">SUM(BS70:BT70)</f>
        <v>#REF!</v>
      </c>
      <c r="BV70" s="51" t="e">
        <f>SUMIFS([1]!tblActvChurn[LINES],[1]!tblActvChurn[MONTH],DATE(YEAR($C$1),MONTH($C$1),1),[1]!tblActvChurn[KPI],$BV$47,[1]!tblActvChurn[VERTICAL],$BO$10,[1]!tblActvChurn[AM],$BO70,[1]!tblActvChurn[RATEPLAN_TYPE],"Prepaid",[1]!tblActvChurn[PG_TYPE],BV$11)</f>
        <v>#REF!</v>
      </c>
      <c r="BW70" s="51" t="e">
        <f>SUMIFS([1]!tblActvChurn[LINES],[1]!tblActvChurn[MONTH],DATE(YEAR($C$1),MONTH($C$1),1),[1]!tblActvChurn[KPI],$BV$47,[1]!tblActvChurn[VERTICAL],$BO$10,[1]!tblActvChurn[AM],$BO70,[1]!tblActvChurn[RATEPLAN_TYPE],"Prepaid",[1]!tblActvChurn[PG_TYPE],BW$11)</f>
        <v>#REF!</v>
      </c>
      <c r="BX70" s="51" t="e">
        <f t="shared" ref="BX70:BX78" si="33">SUM(BV70:BW70)</f>
        <v>#REF!</v>
      </c>
      <c r="BY70" s="52"/>
      <c r="BZ70" s="52"/>
      <c r="CA70" s="52"/>
      <c r="CG70" s="40"/>
    </row>
    <row r="71" spans="31:85">
      <c r="BO71" s="45" t="str">
        <f t="shared" ref="BO71:BO78" si="34">BO53</f>
        <v>Abraham Cherian</v>
      </c>
      <c r="BP71" s="51" t="e">
        <f>SUMIFS([1]!tblActvChurn[LINES],[1]!tblActvChurn[MONTH],DATE(YEAR($C$1),MONTH($C$1),1),[1]!tblActvChurn[KPI],$BP$47,[1]!tblActvChurn[VERTICAL],$BO$10,[1]!tblActvChurn[AM],$BO71,[1]!tblActvChurn[RATEPLAN_TYPE],"Prepaid",[1]!tblActvChurn[PG_TYPE],BP$11)</f>
        <v>#REF!</v>
      </c>
      <c r="BQ71" s="51" t="e">
        <f>SUMIFS([1]!tblActvChurn[LINES],[1]!tblActvChurn[MONTH],DATE(YEAR($C$1),MONTH($C$1),1),[1]!tblActvChurn[KPI],$BP$47,[1]!tblActvChurn[VERTICAL],$BO$10,[1]!tblActvChurn[AM],$BO71,[1]!tblActvChurn[RATEPLAN_TYPE],"Prepaid",[1]!tblActvChurn[PG_TYPE],BQ$11)</f>
        <v>#REF!</v>
      </c>
      <c r="BR71" s="51" t="e">
        <f t="shared" si="31"/>
        <v>#REF!</v>
      </c>
      <c r="BS71" s="51" t="e">
        <f>SUMIFS([1]!tblActvChurn[LINES],[1]!tblActvChurn[MONTH],DATE(YEAR($C$1),MONTH($C$1),1),[1]!tblActvChurn[KPI],$BS$47,[1]!tblActvChurn[VERTICAL],$BO$10,[1]!tblActvChurn[AM],$BO71,[1]!tblActvChurn[RATEPLAN_TYPE],"Prepaid",[1]!tblActvChurn[PG_TYPE],BS$11)</f>
        <v>#REF!</v>
      </c>
      <c r="BT71" s="51" t="e">
        <f>SUMIFS([1]!tblActvChurn[LINES],[1]!tblActvChurn[MONTH],DATE(YEAR($C$1),MONTH($C$1),1),[1]!tblActvChurn[KPI],$BS$47,[1]!tblActvChurn[VERTICAL],$BO$10,[1]!tblActvChurn[AM],$BO71,[1]!tblActvChurn[RATEPLAN_TYPE],"Prepaid",[1]!tblActvChurn[PG_TYPE],BT$11)</f>
        <v>#REF!</v>
      </c>
      <c r="BU71" s="51" t="e">
        <f t="shared" si="32"/>
        <v>#REF!</v>
      </c>
      <c r="BV71" s="51" t="e">
        <f>SUMIFS([1]!tblActvChurn[LINES],[1]!tblActvChurn[MONTH],DATE(YEAR($C$1),MONTH($C$1),1),[1]!tblActvChurn[KPI],$BV$47,[1]!tblActvChurn[VERTICAL],$BO$10,[1]!tblActvChurn[AM],$BO71,[1]!tblActvChurn[RATEPLAN_TYPE],"Prepaid",[1]!tblActvChurn[PG_TYPE],BV$11)</f>
        <v>#REF!</v>
      </c>
      <c r="BW71" s="51" t="e">
        <f>SUMIFS([1]!tblActvChurn[LINES],[1]!tblActvChurn[MONTH],DATE(YEAR($C$1),MONTH($C$1),1),[1]!tblActvChurn[KPI],$BV$47,[1]!tblActvChurn[VERTICAL],$BO$10,[1]!tblActvChurn[AM],$BO71,[1]!tblActvChurn[RATEPLAN_TYPE],"Prepaid",[1]!tblActvChurn[PG_TYPE],BW$11)</f>
        <v>#REF!</v>
      </c>
      <c r="BX71" s="51" t="e">
        <f t="shared" si="33"/>
        <v>#REF!</v>
      </c>
      <c r="BY71" s="52"/>
      <c r="BZ71" s="52"/>
      <c r="CA71" s="52"/>
      <c r="CG71" s="40"/>
    </row>
    <row r="72" spans="31:85">
      <c r="BO72" s="45" t="str">
        <f t="shared" si="34"/>
        <v>Arjun Subaraman</v>
      </c>
      <c r="BP72" s="51" t="e">
        <f>SUMIFS([1]!tblActvChurn[LINES],[1]!tblActvChurn[MONTH],DATE(YEAR($C$1),MONTH($C$1),1),[1]!tblActvChurn[KPI],$BP$47,[1]!tblActvChurn[VERTICAL],$BO$10,[1]!tblActvChurn[AM],$BO72,[1]!tblActvChurn[RATEPLAN_TYPE],"Prepaid",[1]!tblActvChurn[PG_TYPE],BP$11)</f>
        <v>#REF!</v>
      </c>
      <c r="BQ72" s="51" t="e">
        <f>SUMIFS([1]!tblActvChurn[LINES],[1]!tblActvChurn[MONTH],DATE(YEAR($C$1),MONTH($C$1),1),[1]!tblActvChurn[KPI],$BP$47,[1]!tblActvChurn[VERTICAL],$BO$10,[1]!tblActvChurn[AM],$BO72,[1]!tblActvChurn[RATEPLAN_TYPE],"Prepaid",[1]!tblActvChurn[PG_TYPE],BQ$11)</f>
        <v>#REF!</v>
      </c>
      <c r="BR72" s="51" t="e">
        <f t="shared" si="31"/>
        <v>#REF!</v>
      </c>
      <c r="BS72" s="51" t="e">
        <f>SUMIFS([1]!tblActvChurn[LINES],[1]!tblActvChurn[MONTH],DATE(YEAR($C$1),MONTH($C$1),1),[1]!tblActvChurn[KPI],$BS$47,[1]!tblActvChurn[VERTICAL],$BO$10,[1]!tblActvChurn[AM],$BO72,[1]!tblActvChurn[RATEPLAN_TYPE],"Prepaid",[1]!tblActvChurn[PG_TYPE],BS$11)</f>
        <v>#REF!</v>
      </c>
      <c r="BT72" s="51" t="e">
        <f>SUMIFS([1]!tblActvChurn[LINES],[1]!tblActvChurn[MONTH],DATE(YEAR($C$1),MONTH($C$1),1),[1]!tblActvChurn[KPI],$BS$47,[1]!tblActvChurn[VERTICAL],$BO$10,[1]!tblActvChurn[AM],$BO72,[1]!tblActvChurn[RATEPLAN_TYPE],"Prepaid",[1]!tblActvChurn[PG_TYPE],BT$11)</f>
        <v>#REF!</v>
      </c>
      <c r="BU72" s="51" t="e">
        <f t="shared" si="32"/>
        <v>#REF!</v>
      </c>
      <c r="BV72" s="51" t="e">
        <f>SUMIFS([1]!tblActvChurn[LINES],[1]!tblActvChurn[MONTH],DATE(YEAR($C$1),MONTH($C$1),1),[1]!tblActvChurn[KPI],$BV$47,[1]!tblActvChurn[VERTICAL],$BO$10,[1]!tblActvChurn[AM],$BO72,[1]!tblActvChurn[RATEPLAN_TYPE],"Prepaid",[1]!tblActvChurn[PG_TYPE],BV$11)</f>
        <v>#REF!</v>
      </c>
      <c r="BW72" s="51" t="e">
        <f>SUMIFS([1]!tblActvChurn[LINES],[1]!tblActvChurn[MONTH],DATE(YEAR($C$1),MONTH($C$1),1),[1]!tblActvChurn[KPI],$BV$47,[1]!tblActvChurn[VERTICAL],$BO$10,[1]!tblActvChurn[AM],$BO72,[1]!tblActvChurn[RATEPLAN_TYPE],"Prepaid",[1]!tblActvChurn[PG_TYPE],BW$11)</f>
        <v>#REF!</v>
      </c>
      <c r="BX72" s="51" t="e">
        <f t="shared" si="33"/>
        <v>#REF!</v>
      </c>
      <c r="CG72" s="40"/>
    </row>
    <row r="73" spans="31:85">
      <c r="BO73" s="45" t="str">
        <f t="shared" si="34"/>
        <v>Ehab Hajou</v>
      </c>
      <c r="BP73" s="51" t="e">
        <f>SUMIFS([1]!tblActvChurn[LINES],[1]!tblActvChurn[MONTH],DATE(YEAR($C$1),MONTH($C$1),1),[1]!tblActvChurn[KPI],$BP$47,[1]!tblActvChurn[VERTICAL],$BO$10,[1]!tblActvChurn[AM],$BO73,[1]!tblActvChurn[RATEPLAN_TYPE],"Prepaid",[1]!tblActvChurn[PG_TYPE],BP$11)</f>
        <v>#REF!</v>
      </c>
      <c r="BQ73" s="51" t="e">
        <f>SUMIFS([1]!tblActvChurn[LINES],[1]!tblActvChurn[MONTH],DATE(YEAR($C$1),MONTH($C$1),1),[1]!tblActvChurn[KPI],$BP$47,[1]!tblActvChurn[VERTICAL],$BO$10,[1]!tblActvChurn[AM],$BO73,[1]!tblActvChurn[RATEPLAN_TYPE],"Prepaid",[1]!tblActvChurn[PG_TYPE],BQ$11)</f>
        <v>#REF!</v>
      </c>
      <c r="BR73" s="51" t="e">
        <f t="shared" si="31"/>
        <v>#REF!</v>
      </c>
      <c r="BS73" s="51" t="e">
        <f>SUMIFS([1]!tblActvChurn[LINES],[1]!tblActvChurn[MONTH],DATE(YEAR($C$1),MONTH($C$1),1),[1]!tblActvChurn[KPI],$BS$47,[1]!tblActvChurn[VERTICAL],$BO$10,[1]!tblActvChurn[AM],$BO73,[1]!tblActvChurn[RATEPLAN_TYPE],"Prepaid",[1]!tblActvChurn[PG_TYPE],BS$11)</f>
        <v>#REF!</v>
      </c>
      <c r="BT73" s="51" t="e">
        <f>SUMIFS([1]!tblActvChurn[LINES],[1]!tblActvChurn[MONTH],DATE(YEAR($C$1),MONTH($C$1),1),[1]!tblActvChurn[KPI],$BS$47,[1]!tblActvChurn[VERTICAL],$BO$10,[1]!tblActvChurn[AM],$BO73,[1]!tblActvChurn[RATEPLAN_TYPE],"Prepaid",[1]!tblActvChurn[PG_TYPE],BT$11)</f>
        <v>#REF!</v>
      </c>
      <c r="BU73" s="51" t="e">
        <f t="shared" si="32"/>
        <v>#REF!</v>
      </c>
      <c r="BV73" s="51" t="e">
        <f>SUMIFS([1]!tblActvChurn[LINES],[1]!tblActvChurn[MONTH],DATE(YEAR($C$1),MONTH($C$1),1),[1]!tblActvChurn[KPI],$BV$47,[1]!tblActvChurn[VERTICAL],$BO$10,[1]!tblActvChurn[AM],$BO73,[1]!tblActvChurn[RATEPLAN_TYPE],"Prepaid",[1]!tblActvChurn[PG_TYPE],BV$11)</f>
        <v>#REF!</v>
      </c>
      <c r="BW73" s="51" t="e">
        <f>SUMIFS([1]!tblActvChurn[LINES],[1]!tblActvChurn[MONTH],DATE(YEAR($C$1),MONTH($C$1),1),[1]!tblActvChurn[KPI],$BV$47,[1]!tblActvChurn[VERTICAL],$BO$10,[1]!tblActvChurn[AM],$BO73,[1]!tblActvChurn[RATEPLAN_TYPE],"Prepaid",[1]!tblActvChurn[PG_TYPE],BW$11)</f>
        <v>#REF!</v>
      </c>
      <c r="BX73" s="51" t="e">
        <f t="shared" si="33"/>
        <v>#REF!</v>
      </c>
      <c r="CG73" s="40"/>
    </row>
    <row r="74" spans="31:85">
      <c r="BO74" s="45" t="str">
        <f t="shared" si="34"/>
        <v>Ghassan Fouany</v>
      </c>
      <c r="BP74" s="51" t="e">
        <f>SUMIFS([1]!tblActvChurn[LINES],[1]!tblActvChurn[MONTH],DATE(YEAR($C$1),MONTH($C$1),1),[1]!tblActvChurn[KPI],$BP$47,[1]!tblActvChurn[VERTICAL],$BO$10,[1]!tblActvChurn[AM],$BO74,[1]!tblActvChurn[RATEPLAN_TYPE],"Prepaid",[1]!tblActvChurn[PG_TYPE],BP$11)</f>
        <v>#REF!</v>
      </c>
      <c r="BQ74" s="51" t="e">
        <f>SUMIFS([1]!tblActvChurn[LINES],[1]!tblActvChurn[MONTH],DATE(YEAR($C$1),MONTH($C$1),1),[1]!tblActvChurn[KPI],$BP$47,[1]!tblActvChurn[VERTICAL],$BO$10,[1]!tblActvChurn[AM],$BO74,[1]!tblActvChurn[RATEPLAN_TYPE],"Prepaid",[1]!tblActvChurn[PG_TYPE],BQ$11)</f>
        <v>#REF!</v>
      </c>
      <c r="BR74" s="51" t="e">
        <f t="shared" si="31"/>
        <v>#REF!</v>
      </c>
      <c r="BS74" s="51" t="e">
        <f>SUMIFS([1]!tblActvChurn[LINES],[1]!tblActvChurn[MONTH],DATE(YEAR($C$1),MONTH($C$1),1),[1]!tblActvChurn[KPI],$BS$47,[1]!tblActvChurn[VERTICAL],$BO$10,[1]!tblActvChurn[AM],$BO74,[1]!tblActvChurn[RATEPLAN_TYPE],"Prepaid",[1]!tblActvChurn[PG_TYPE],BS$11)</f>
        <v>#REF!</v>
      </c>
      <c r="BT74" s="51" t="e">
        <f>SUMIFS([1]!tblActvChurn[LINES],[1]!tblActvChurn[MONTH],DATE(YEAR($C$1),MONTH($C$1),1),[1]!tblActvChurn[KPI],$BS$47,[1]!tblActvChurn[VERTICAL],$BO$10,[1]!tblActvChurn[AM],$BO74,[1]!tblActvChurn[RATEPLAN_TYPE],"Prepaid",[1]!tblActvChurn[PG_TYPE],BT$11)</f>
        <v>#REF!</v>
      </c>
      <c r="BU74" s="51" t="e">
        <f t="shared" si="32"/>
        <v>#REF!</v>
      </c>
      <c r="BV74" s="51" t="e">
        <f>SUMIFS([1]!tblActvChurn[LINES],[1]!tblActvChurn[MONTH],DATE(YEAR($C$1),MONTH($C$1),1),[1]!tblActvChurn[KPI],$BV$47,[1]!tblActvChurn[VERTICAL],$BO$10,[1]!tblActvChurn[AM],$BO74,[1]!tblActvChurn[RATEPLAN_TYPE],"Prepaid",[1]!tblActvChurn[PG_TYPE],BV$11)</f>
        <v>#REF!</v>
      </c>
      <c r="BW74" s="51" t="e">
        <f>SUMIFS([1]!tblActvChurn[LINES],[1]!tblActvChurn[MONTH],DATE(YEAR($C$1),MONTH($C$1),1),[1]!tblActvChurn[KPI],$BV$47,[1]!tblActvChurn[VERTICAL],$BO$10,[1]!tblActvChurn[AM],$BO74,[1]!tblActvChurn[RATEPLAN_TYPE],"Prepaid",[1]!tblActvChurn[PG_TYPE],BW$11)</f>
        <v>#REF!</v>
      </c>
      <c r="BX74" s="51" t="e">
        <f t="shared" si="33"/>
        <v>#REF!</v>
      </c>
      <c r="CG74" s="40"/>
    </row>
    <row r="75" spans="31:85">
      <c r="BO75" s="45" t="str">
        <f t="shared" si="34"/>
        <v>Inayat Fazili</v>
      </c>
      <c r="BP75" s="51" t="e">
        <f>SUMIFS([1]!tblActvChurn[LINES],[1]!tblActvChurn[MONTH],DATE(YEAR($C$1),MONTH($C$1),1),[1]!tblActvChurn[KPI],$BP$47,[1]!tblActvChurn[VERTICAL],$BO$10,[1]!tblActvChurn[AM],$BO75,[1]!tblActvChurn[RATEPLAN_TYPE],"Prepaid",[1]!tblActvChurn[PG_TYPE],BP$11)</f>
        <v>#REF!</v>
      </c>
      <c r="BQ75" s="51" t="e">
        <f>SUMIFS([1]!tblActvChurn[LINES],[1]!tblActvChurn[MONTH],DATE(YEAR($C$1),MONTH($C$1),1),[1]!tblActvChurn[KPI],$BP$47,[1]!tblActvChurn[VERTICAL],$BO$10,[1]!tblActvChurn[AM],$BO75,[1]!tblActvChurn[RATEPLAN_TYPE],"Prepaid",[1]!tblActvChurn[PG_TYPE],BQ$11)</f>
        <v>#REF!</v>
      </c>
      <c r="BR75" s="51" t="e">
        <f t="shared" si="31"/>
        <v>#REF!</v>
      </c>
      <c r="BS75" s="51" t="e">
        <f>SUMIFS([1]!tblActvChurn[LINES],[1]!tblActvChurn[MONTH],DATE(YEAR($C$1),MONTH($C$1),1),[1]!tblActvChurn[KPI],$BS$47,[1]!tblActvChurn[VERTICAL],$BO$10,[1]!tblActvChurn[AM],$BO75,[1]!tblActvChurn[RATEPLAN_TYPE],"Prepaid",[1]!tblActvChurn[PG_TYPE],BS$11)</f>
        <v>#REF!</v>
      </c>
      <c r="BT75" s="51" t="e">
        <f>SUMIFS([1]!tblActvChurn[LINES],[1]!tblActvChurn[MONTH],DATE(YEAR($C$1),MONTH($C$1),1),[1]!tblActvChurn[KPI],$BS$47,[1]!tblActvChurn[VERTICAL],$BO$10,[1]!tblActvChurn[AM],$BO75,[1]!tblActvChurn[RATEPLAN_TYPE],"Prepaid",[1]!tblActvChurn[PG_TYPE],BT$11)</f>
        <v>#REF!</v>
      </c>
      <c r="BU75" s="51" t="e">
        <f t="shared" si="32"/>
        <v>#REF!</v>
      </c>
      <c r="BV75" s="51" t="e">
        <f>SUMIFS([1]!tblActvChurn[LINES],[1]!tblActvChurn[MONTH],DATE(YEAR($C$1),MONTH($C$1),1),[1]!tblActvChurn[KPI],$BV$47,[1]!tblActvChurn[VERTICAL],$BO$10,[1]!tblActvChurn[AM],$BO75,[1]!tblActvChurn[RATEPLAN_TYPE],"Prepaid",[1]!tblActvChurn[PG_TYPE],BV$11)</f>
        <v>#REF!</v>
      </c>
      <c r="BW75" s="51" t="e">
        <f>SUMIFS([1]!tblActvChurn[LINES],[1]!tblActvChurn[MONTH],DATE(YEAR($C$1),MONTH($C$1),1),[1]!tblActvChurn[KPI],$BV$47,[1]!tblActvChurn[VERTICAL],$BO$10,[1]!tblActvChurn[AM],$BO75,[1]!tblActvChurn[RATEPLAN_TYPE],"Prepaid",[1]!tblActvChurn[PG_TYPE],BW$11)</f>
        <v>#REF!</v>
      </c>
      <c r="BX75" s="51" t="e">
        <f t="shared" si="33"/>
        <v>#REF!</v>
      </c>
      <c r="CG75" s="40"/>
    </row>
    <row r="76" spans="31:85">
      <c r="BO76" s="45" t="str">
        <f t="shared" si="34"/>
        <v>Mohamad Labban</v>
      </c>
      <c r="BP76" s="51" t="e">
        <f>SUMIFS([1]!tblActvChurn[LINES],[1]!tblActvChurn[MONTH],DATE(YEAR($C$1),MONTH($C$1),1),[1]!tblActvChurn[KPI],$BP$47,[1]!tblActvChurn[VERTICAL],$BO$10,[1]!tblActvChurn[AM],$BO76,[1]!tblActvChurn[RATEPLAN_TYPE],"Prepaid",[1]!tblActvChurn[PG_TYPE],BP$11)</f>
        <v>#REF!</v>
      </c>
      <c r="BQ76" s="51" t="e">
        <f>SUMIFS([1]!tblActvChurn[LINES],[1]!tblActvChurn[MONTH],DATE(YEAR($C$1),MONTH($C$1),1),[1]!tblActvChurn[KPI],$BP$47,[1]!tblActvChurn[VERTICAL],$BO$10,[1]!tblActvChurn[AM],$BO76,[1]!tblActvChurn[RATEPLAN_TYPE],"Prepaid",[1]!tblActvChurn[PG_TYPE],BQ$11)</f>
        <v>#REF!</v>
      </c>
      <c r="BR76" s="51" t="e">
        <f t="shared" si="31"/>
        <v>#REF!</v>
      </c>
      <c r="BS76" s="51" t="e">
        <f>SUMIFS([1]!tblActvChurn[LINES],[1]!tblActvChurn[MONTH],DATE(YEAR($C$1),MONTH($C$1),1),[1]!tblActvChurn[KPI],$BS$47,[1]!tblActvChurn[VERTICAL],$BO$10,[1]!tblActvChurn[AM],$BO76,[1]!tblActvChurn[RATEPLAN_TYPE],"Prepaid",[1]!tblActvChurn[PG_TYPE],BS$11)</f>
        <v>#REF!</v>
      </c>
      <c r="BT76" s="51" t="e">
        <f>SUMIFS([1]!tblActvChurn[LINES],[1]!tblActvChurn[MONTH],DATE(YEAR($C$1),MONTH($C$1),1),[1]!tblActvChurn[KPI],$BS$47,[1]!tblActvChurn[VERTICAL],$BO$10,[1]!tblActvChurn[AM],$BO76,[1]!tblActvChurn[RATEPLAN_TYPE],"Prepaid",[1]!tblActvChurn[PG_TYPE],BT$11)</f>
        <v>#REF!</v>
      </c>
      <c r="BU76" s="51" t="e">
        <f t="shared" si="32"/>
        <v>#REF!</v>
      </c>
      <c r="BV76" s="51" t="e">
        <f>SUMIFS([1]!tblActvChurn[LINES],[1]!tblActvChurn[MONTH],DATE(YEAR($C$1),MONTH($C$1),1),[1]!tblActvChurn[KPI],$BV$47,[1]!tblActvChurn[VERTICAL],$BO$10,[1]!tblActvChurn[AM],$BO76,[1]!tblActvChurn[RATEPLAN_TYPE],"Prepaid",[1]!tblActvChurn[PG_TYPE],BV$11)</f>
        <v>#REF!</v>
      </c>
      <c r="BW76" s="51" t="e">
        <f>SUMIFS([1]!tblActvChurn[LINES],[1]!tblActvChurn[MONTH],DATE(YEAR($C$1),MONTH($C$1),1),[1]!tblActvChurn[KPI],$BV$47,[1]!tblActvChurn[VERTICAL],$BO$10,[1]!tblActvChurn[AM],$BO76,[1]!tblActvChurn[RATEPLAN_TYPE],"Prepaid",[1]!tblActvChurn[PG_TYPE],BW$11)</f>
        <v>#REF!</v>
      </c>
      <c r="BX76" s="51" t="e">
        <f t="shared" si="33"/>
        <v>#REF!</v>
      </c>
      <c r="CG76" s="40"/>
    </row>
    <row r="77" spans="31:85">
      <c r="BO77" s="45" t="e">
        <f t="shared" si="34"/>
        <v>#REF!</v>
      </c>
      <c r="BP77" s="51" t="e">
        <f>SUMIFS([1]!tblActvChurn[LINES],[1]!tblActvChurn[MONTH],DATE(YEAR($C$1),MONTH($C$1),1),[1]!tblActvChurn[KPI],$BP$47,[1]!tblActvChurn[VERTICAL],$BO$10,[1]!tblActvChurn[AM],$BO77,[1]!tblActvChurn[RATEPLAN_TYPE],"Prepaid",[1]!tblActvChurn[PG_TYPE],BP$11)</f>
        <v>#REF!</v>
      </c>
      <c r="BQ77" s="51" t="e">
        <f>SUMIFS([1]!tblActvChurn[LINES],[1]!tblActvChurn[MONTH],DATE(YEAR($C$1),MONTH($C$1),1),[1]!tblActvChurn[KPI],$BP$47,[1]!tblActvChurn[VERTICAL],$BO$10,[1]!tblActvChurn[AM],$BO77,[1]!tblActvChurn[RATEPLAN_TYPE],"Prepaid",[1]!tblActvChurn[PG_TYPE],BQ$11)</f>
        <v>#REF!</v>
      </c>
      <c r="BR77" s="51" t="e">
        <f t="shared" si="31"/>
        <v>#REF!</v>
      </c>
      <c r="BS77" s="51" t="e">
        <f>SUMIFS([1]!tblActvChurn[LINES],[1]!tblActvChurn[MONTH],DATE(YEAR($C$1),MONTH($C$1),1),[1]!tblActvChurn[KPI],$BS$47,[1]!tblActvChurn[VERTICAL],$BO$10,[1]!tblActvChurn[AM],$BO77,[1]!tblActvChurn[RATEPLAN_TYPE],"Prepaid",[1]!tblActvChurn[PG_TYPE],BS$11)</f>
        <v>#REF!</v>
      </c>
      <c r="BT77" s="51" t="e">
        <f>SUMIFS([1]!tblActvChurn[LINES],[1]!tblActvChurn[MONTH],DATE(YEAR($C$1),MONTH($C$1),1),[1]!tblActvChurn[KPI],$BS$47,[1]!tblActvChurn[VERTICAL],$BO$10,[1]!tblActvChurn[AM],$BO77,[1]!tblActvChurn[RATEPLAN_TYPE],"Prepaid",[1]!tblActvChurn[PG_TYPE],BT$11)</f>
        <v>#REF!</v>
      </c>
      <c r="BU77" s="51" t="e">
        <f t="shared" si="32"/>
        <v>#REF!</v>
      </c>
      <c r="BV77" s="51" t="e">
        <f>SUMIFS([1]!tblActvChurn[LINES],[1]!tblActvChurn[MONTH],DATE(YEAR($C$1),MONTH($C$1),1),[1]!tblActvChurn[KPI],$BV$47,[1]!tblActvChurn[VERTICAL],$BO$10,[1]!tblActvChurn[AM],$BO77,[1]!tblActvChurn[RATEPLAN_TYPE],"Prepaid",[1]!tblActvChurn[PG_TYPE],BV$11)</f>
        <v>#REF!</v>
      </c>
      <c r="BW77" s="51" t="e">
        <f>SUMIFS([1]!tblActvChurn[LINES],[1]!tblActvChurn[MONTH],DATE(YEAR($C$1),MONTH($C$1),1),[1]!tblActvChurn[KPI],$BV$47,[1]!tblActvChurn[VERTICAL],$BO$10,[1]!tblActvChurn[AM],$BO77,[1]!tblActvChurn[RATEPLAN_TYPE],"Prepaid",[1]!tblActvChurn[PG_TYPE],BW$11)</f>
        <v>#REF!</v>
      </c>
      <c r="BX77" s="51" t="e">
        <f t="shared" si="33"/>
        <v>#REF!</v>
      </c>
      <c r="CG77" s="40"/>
    </row>
    <row r="78" spans="31:85">
      <c r="BO78" s="45" t="str">
        <f t="shared" si="34"/>
        <v>Nadeem Rasheed</v>
      </c>
      <c r="BP78" s="51" t="e">
        <f>SUMIFS([1]!tblActvChurn[LINES],[1]!tblActvChurn[MONTH],DATE(YEAR($C$1),MONTH($C$1),1),[1]!tblActvChurn[KPI],$BP$47,[1]!tblActvChurn[VERTICAL],$BO$10,[1]!tblActvChurn[AM],$BO78,[1]!tblActvChurn[RATEPLAN_TYPE],"Prepaid",[1]!tblActvChurn[PG_TYPE],BP$11)</f>
        <v>#REF!</v>
      </c>
      <c r="BQ78" s="51" t="e">
        <f>SUMIFS([1]!tblActvChurn[LINES],[1]!tblActvChurn[MONTH],DATE(YEAR($C$1),MONTH($C$1),1),[1]!tblActvChurn[KPI],$BP$47,[1]!tblActvChurn[VERTICAL],$BO$10,[1]!tblActvChurn[AM],$BO78,[1]!tblActvChurn[RATEPLAN_TYPE],"Prepaid",[1]!tblActvChurn[PG_TYPE],BQ$11)</f>
        <v>#REF!</v>
      </c>
      <c r="BR78" s="51" t="e">
        <f t="shared" si="31"/>
        <v>#REF!</v>
      </c>
      <c r="BS78" s="51" t="e">
        <f>SUMIFS([1]!tblActvChurn[LINES],[1]!tblActvChurn[MONTH],DATE(YEAR($C$1),MONTH($C$1),1),[1]!tblActvChurn[KPI],$BS$47,[1]!tblActvChurn[VERTICAL],$BO$10,[1]!tblActvChurn[AM],$BO78,[1]!tblActvChurn[RATEPLAN_TYPE],"Prepaid",[1]!tblActvChurn[PG_TYPE],BS$11)</f>
        <v>#REF!</v>
      </c>
      <c r="BT78" s="51" t="e">
        <f>SUMIFS([1]!tblActvChurn[LINES],[1]!tblActvChurn[MONTH],DATE(YEAR($C$1),MONTH($C$1),1),[1]!tblActvChurn[KPI],$BS$47,[1]!tblActvChurn[VERTICAL],$BO$10,[1]!tblActvChurn[AM],$BO78,[1]!tblActvChurn[RATEPLAN_TYPE],"Prepaid",[1]!tblActvChurn[PG_TYPE],BT$11)</f>
        <v>#REF!</v>
      </c>
      <c r="BU78" s="51" t="e">
        <f t="shared" si="32"/>
        <v>#REF!</v>
      </c>
      <c r="BV78" s="51" t="e">
        <f>SUMIFS([1]!tblActvChurn[LINES],[1]!tblActvChurn[MONTH],DATE(YEAR($C$1),MONTH($C$1),1),[1]!tblActvChurn[KPI],$BV$47,[1]!tblActvChurn[VERTICAL],$BO$10,[1]!tblActvChurn[AM],$BO78,[1]!tblActvChurn[RATEPLAN_TYPE],"Prepaid",[1]!tblActvChurn[PG_TYPE],BV$11)</f>
        <v>#REF!</v>
      </c>
      <c r="BW78" s="51" t="e">
        <f>SUMIFS([1]!tblActvChurn[LINES],[1]!tblActvChurn[MONTH],DATE(YEAR($C$1),MONTH($C$1),1),[1]!tblActvChurn[KPI],$BV$47,[1]!tblActvChurn[VERTICAL],$BO$10,[1]!tblActvChurn[AM],$BO78,[1]!tblActvChurn[RATEPLAN_TYPE],"Prepaid",[1]!tblActvChurn[PG_TYPE],BW$11)</f>
        <v>#REF!</v>
      </c>
      <c r="BX78" s="51" t="e">
        <f t="shared" si="33"/>
        <v>#REF!</v>
      </c>
      <c r="CG78" s="40"/>
    </row>
    <row r="79" spans="31:85">
      <c r="BO79" s="45"/>
      <c r="BP79" s="51"/>
      <c r="BQ79" s="51"/>
      <c r="BR79" s="51"/>
      <c r="BS79" s="51"/>
      <c r="BT79" s="51"/>
      <c r="BU79" s="51"/>
      <c r="BV79" s="51"/>
      <c r="BW79" s="51"/>
      <c r="BX79" s="51"/>
      <c r="CG79" s="40"/>
    </row>
    <row r="80" spans="31:85">
      <c r="BO80" s="99"/>
      <c r="BP80" s="51"/>
      <c r="BQ80" s="51"/>
      <c r="BR80" s="51"/>
      <c r="BS80" s="51"/>
      <c r="BT80" s="51"/>
      <c r="BU80" s="51"/>
      <c r="BV80" s="51"/>
      <c r="BW80" s="51"/>
      <c r="BX80" s="51"/>
      <c r="CG80" s="40"/>
    </row>
    <row r="81" spans="8:85">
      <c r="BO81" s="82" t="s">
        <v>37</v>
      </c>
      <c r="BP81" s="83" t="e">
        <f t="shared" ref="BP81:BX81" si="35">SUM(BP70:BP80)</f>
        <v>#REF!</v>
      </c>
      <c r="BQ81" s="83" t="e">
        <f t="shared" si="35"/>
        <v>#REF!</v>
      </c>
      <c r="BR81" s="83" t="e">
        <f t="shared" si="35"/>
        <v>#REF!</v>
      </c>
      <c r="BS81" s="83" t="e">
        <f t="shared" si="35"/>
        <v>#REF!</v>
      </c>
      <c r="BT81" s="83" t="e">
        <f t="shared" si="35"/>
        <v>#REF!</v>
      </c>
      <c r="BU81" s="83" t="e">
        <f t="shared" si="35"/>
        <v>#REF!</v>
      </c>
      <c r="BV81" s="83" t="e">
        <f t="shared" si="35"/>
        <v>#REF!</v>
      </c>
      <c r="BW81" s="83" t="e">
        <f t="shared" si="35"/>
        <v>#REF!</v>
      </c>
      <c r="BX81" s="83" t="e">
        <f t="shared" si="35"/>
        <v>#REF!</v>
      </c>
      <c r="CG81" s="40"/>
    </row>
    <row r="82" spans="8:85">
      <c r="BO82" s="52"/>
      <c r="BP82" s="52"/>
      <c r="BQ82" s="52"/>
      <c r="BR82" s="52"/>
      <c r="BS82" s="52"/>
      <c r="BT82" s="52"/>
      <c r="BU82" s="52"/>
      <c r="BV82" s="52"/>
      <c r="CG82" s="40"/>
    </row>
    <row r="83" spans="8:85">
      <c r="CG83" s="40"/>
    </row>
    <row r="84" spans="8:85">
      <c r="BO84" s="22" t="s">
        <v>44</v>
      </c>
      <c r="BP84" s="121" t="s">
        <v>45</v>
      </c>
      <c r="BQ84" s="122"/>
      <c r="BR84" s="122"/>
      <c r="BS84" s="122"/>
      <c r="BT84" s="122"/>
      <c r="BU84" s="122"/>
      <c r="BV84" s="122"/>
      <c r="BW84" s="122"/>
      <c r="BX84" s="122"/>
      <c r="BY84" s="122"/>
      <c r="BZ84" s="122"/>
      <c r="CA84" s="122"/>
      <c r="CG84" s="40"/>
    </row>
    <row r="85" spans="8:85">
      <c r="BP85" s="47" t="s">
        <v>31</v>
      </c>
      <c r="BQ85" s="47"/>
      <c r="BR85" s="47"/>
      <c r="BS85" s="47" t="s">
        <v>32</v>
      </c>
      <c r="BT85" s="47"/>
      <c r="BU85" s="47"/>
      <c r="BV85" s="47" t="s">
        <v>33</v>
      </c>
      <c r="BW85" s="47"/>
      <c r="BX85" s="47"/>
      <c r="BY85" s="47" t="s">
        <v>34</v>
      </c>
      <c r="BZ85" s="47"/>
      <c r="CA85" s="47"/>
      <c r="CG85" s="40"/>
    </row>
    <row r="86" spans="8:85">
      <c r="BO86" s="75" t="str">
        <f>$AM$19</f>
        <v>FOGH</v>
      </c>
      <c r="BP86" s="87" t="s">
        <v>35</v>
      </c>
      <c r="BQ86" s="88" t="s">
        <v>36</v>
      </c>
      <c r="BR86" s="88" t="s">
        <v>37</v>
      </c>
      <c r="BS86" s="88" t="s">
        <v>35</v>
      </c>
      <c r="BT86" s="88" t="s">
        <v>36</v>
      </c>
      <c r="BU86" s="88" t="s">
        <v>37</v>
      </c>
      <c r="BV86" s="88" t="s">
        <v>35</v>
      </c>
      <c r="BW86" s="88" t="s">
        <v>36</v>
      </c>
      <c r="BX86" s="88" t="s">
        <v>37</v>
      </c>
      <c r="BY86" s="88"/>
      <c r="BZ86" s="88"/>
      <c r="CA86" s="88"/>
      <c r="CG86" s="40"/>
    </row>
    <row r="87" spans="8:85">
      <c r="BO87" s="45" t="str">
        <f t="shared" ref="BO87:BO95" si="36">BO70</f>
        <v>Abdel Azim Sharabati</v>
      </c>
      <c r="BP87" s="51" t="e">
        <f>SUMIFS([1]!tblActvChurn[POINTS],[1]!tblActvChurn[MONTH],DATE(YEAR($C$1),MONTH($C$1),1),[1]!tblActvChurn[KPI],$BP$84,[1]!tblActvChurn[VERTICAL],$BO$10,[1]!tblActvChurn[AM],$BO87,[1]!tblActvChurn[RATEPLAN_TYPE],$BP$10,[1]!tblActvChurn[PG_TYPE],BP$11)</f>
        <v>#REF!</v>
      </c>
      <c r="BQ87" s="51" t="e">
        <f>SUMIFS([1]!tblActvChurn[POINTS],[1]!tblActvChurn[MONTH],DATE(YEAR($C$1),MONTH($C$1),1),[1]!tblActvChurn[KPI],$BP$84,[1]!tblActvChurn[VERTICAL],$BO$10,[1]!tblActvChurn[AM],$BO87,[1]!tblActvChurn[RATEPLAN_TYPE],$BP$10,[1]!tblActvChurn[PG_TYPE],BQ$11)</f>
        <v>#REF!</v>
      </c>
      <c r="BR87" s="51" t="e">
        <f t="shared" ref="BR87:BR97" si="37">SUM(BP87:BQ87)</f>
        <v>#REF!</v>
      </c>
      <c r="BS87" s="51" t="e">
        <f>SUMIFS([1]!tblActvChurn[POINTS],[1]!tblActvChurn[MONTH],DATE(YEAR($C$1),MONTH($C$1),1),[1]!tblActvChurn[KPI],$BP$84,[1]!tblActvChurn[VERTICAL],$BO$10,[1]!tblActvChurn[AM],$BO87,[1]!tblActvChurn[RATEPLAN_TYPE],$BS$10,[1]!tblActvChurn[PG_TYPE],BS$11)</f>
        <v>#REF!</v>
      </c>
      <c r="BT87" s="51" t="e">
        <f>SUMIFS([1]!tblActvChurn[POINTS],[1]!tblActvChurn[MONTH],DATE(YEAR($C$1),MONTH($C$1),1),[1]!tblActvChurn[KPI],$BP$84,[1]!tblActvChurn[VERTICAL],$BO$10,[1]!tblActvChurn[AM],$BO87,[1]!tblActvChurn[RATEPLAN_TYPE],$BS$10,[1]!tblActvChurn[PG_TYPE],BT$11)</f>
        <v>#REF!</v>
      </c>
      <c r="BU87" s="51" t="e">
        <f t="shared" ref="BU87:BU97" si="38">SUM(BS87:BT87)</f>
        <v>#REF!</v>
      </c>
      <c r="BV87" s="51" t="e">
        <f>SUMIFS([1]!tblActvChurn[POINTS],[1]!tblActvChurn[MONTH],DATE(YEAR($C$1),MONTH($C$1),1),[1]!tblActvChurn[KPI],$BP$84,[1]!tblActvChurn[VERTICAL],$BO$10,[1]!tblActvChurn[AM],$BO87,[1]!tblActvChurn[RATEPLAN_TYPE],$BV$10,[1]!tblActvChurn[PG_TYPE],BV$11)</f>
        <v>#REF!</v>
      </c>
      <c r="BW87" s="51" t="e">
        <f>SUMIFS([1]!tblActvChurn[POINTS],[1]!tblActvChurn[MONTH],DATE(YEAR($C$1),MONTH($C$1),1),[1]!tblActvChurn[KPI],$BP$84,[1]!tblActvChurn[VERTICAL],$BO$10,[1]!tblActvChurn[AM],$BO87,[1]!tblActvChurn[RATEPLAN_TYPE],$BV$10,[1]!tblActvChurn[PG_TYPE],BW$11)</f>
        <v>#REF!</v>
      </c>
      <c r="BX87" s="51" t="e">
        <f t="shared" ref="BX87:BX97" si="39">SUM(BV87:BW87)</f>
        <v>#REF!</v>
      </c>
      <c r="BY87" s="51" t="e">
        <f t="shared" ref="BY87:BY97" si="40">BP87+BS87+BV87</f>
        <v>#REF!</v>
      </c>
      <c r="BZ87" s="51" t="e">
        <f t="shared" ref="BZ87:BZ97" si="41">BQ87+BT87+BW87</f>
        <v>#REF!</v>
      </c>
      <c r="CA87" s="51" t="e">
        <f t="shared" ref="CA87:CA97" si="42">SUM(BY87:BZ87)</f>
        <v>#REF!</v>
      </c>
      <c r="CG87" s="40"/>
    </row>
    <row r="88" spans="8:85">
      <c r="BO88" s="45" t="str">
        <f t="shared" si="36"/>
        <v>Abraham Cherian</v>
      </c>
      <c r="BP88" s="51" t="e">
        <f>SUMIFS([1]!tblActvChurn[POINTS],[1]!tblActvChurn[MONTH],DATE(YEAR($C$1),MONTH($C$1),1),[1]!tblActvChurn[KPI],$BP$84,[1]!tblActvChurn[VERTICAL],$BO$10,[1]!tblActvChurn[AM],$BO88,[1]!tblActvChurn[RATEPLAN_TYPE],$BP$10,[1]!tblActvChurn[PG_TYPE],BP$11)</f>
        <v>#REF!</v>
      </c>
      <c r="BQ88" s="51" t="e">
        <f>SUMIFS([1]!tblActvChurn[POINTS],[1]!tblActvChurn[MONTH],DATE(YEAR($C$1),MONTH($C$1),1),[1]!tblActvChurn[KPI],$BP$84,[1]!tblActvChurn[VERTICAL],$BO$10,[1]!tblActvChurn[AM],$BO88,[1]!tblActvChurn[RATEPLAN_TYPE],$BP$10,[1]!tblActvChurn[PG_TYPE],BQ$11)</f>
        <v>#REF!</v>
      </c>
      <c r="BR88" s="51" t="e">
        <f t="shared" si="37"/>
        <v>#REF!</v>
      </c>
      <c r="BS88" s="51" t="e">
        <f>SUMIFS([1]!tblActvChurn[POINTS],[1]!tblActvChurn[MONTH],DATE(YEAR($C$1),MONTH($C$1),1),[1]!tblActvChurn[KPI],$BP$84,[1]!tblActvChurn[VERTICAL],$BO$10,[1]!tblActvChurn[AM],$BO88,[1]!tblActvChurn[RATEPLAN_TYPE],$BS$10,[1]!tblActvChurn[PG_TYPE],BS$11)</f>
        <v>#REF!</v>
      </c>
      <c r="BT88" s="51" t="e">
        <f>SUMIFS([1]!tblActvChurn[POINTS],[1]!tblActvChurn[MONTH],DATE(YEAR($C$1),MONTH($C$1),1),[1]!tblActvChurn[KPI],$BP$84,[1]!tblActvChurn[VERTICAL],$BO$10,[1]!tblActvChurn[AM],$BO88,[1]!tblActvChurn[RATEPLAN_TYPE],$BS$10,[1]!tblActvChurn[PG_TYPE],BT$11)</f>
        <v>#REF!</v>
      </c>
      <c r="BU88" s="51" t="e">
        <f t="shared" si="38"/>
        <v>#REF!</v>
      </c>
      <c r="BV88" s="51" t="e">
        <f>SUMIFS([1]!tblActvChurn[POINTS],[1]!tblActvChurn[MONTH],DATE(YEAR($C$1),MONTH($C$1),1),[1]!tblActvChurn[KPI],$BP$84,[1]!tblActvChurn[VERTICAL],$BO$10,[1]!tblActvChurn[AM],$BO88,[1]!tblActvChurn[RATEPLAN_TYPE],$BV$10,[1]!tblActvChurn[PG_TYPE],BV$11)</f>
        <v>#REF!</v>
      </c>
      <c r="BW88" s="51" t="e">
        <f>SUMIFS([1]!tblActvChurn[POINTS],[1]!tblActvChurn[MONTH],DATE(YEAR($C$1),MONTH($C$1),1),[1]!tblActvChurn[KPI],$BP$84,[1]!tblActvChurn[VERTICAL],$BO$10,[1]!tblActvChurn[AM],$BO88,[1]!tblActvChurn[RATEPLAN_TYPE],$BV$10,[1]!tblActvChurn[PG_TYPE],BW$11)</f>
        <v>#REF!</v>
      </c>
      <c r="BX88" s="51" t="e">
        <f t="shared" si="39"/>
        <v>#REF!</v>
      </c>
      <c r="BY88" s="51" t="e">
        <f t="shared" si="40"/>
        <v>#REF!</v>
      </c>
      <c r="BZ88" s="51" t="e">
        <f t="shared" si="41"/>
        <v>#REF!</v>
      </c>
      <c r="CA88" s="51" t="e">
        <f t="shared" si="42"/>
        <v>#REF!</v>
      </c>
      <c r="CG88" s="40"/>
    </row>
    <row r="89" spans="8:85">
      <c r="BO89" s="45" t="str">
        <f t="shared" si="36"/>
        <v>Arjun Subaraman</v>
      </c>
      <c r="BP89" s="51" t="e">
        <f>SUMIFS([1]!tblActvChurn[POINTS],[1]!tblActvChurn[MONTH],DATE(YEAR($C$1),MONTH($C$1),1),[1]!tblActvChurn[KPI],$BP$84,[1]!tblActvChurn[VERTICAL],$BO$10,[1]!tblActvChurn[AM],$BO89,[1]!tblActvChurn[RATEPLAN_TYPE],$BP$10,[1]!tblActvChurn[PG_TYPE],BP$11)</f>
        <v>#REF!</v>
      </c>
      <c r="BQ89" s="51" t="e">
        <f>SUMIFS([1]!tblActvChurn[POINTS],[1]!tblActvChurn[MONTH],DATE(YEAR($C$1),MONTH($C$1),1),[1]!tblActvChurn[KPI],$BP$84,[1]!tblActvChurn[VERTICAL],$BO$10,[1]!tblActvChurn[AM],$BO89,[1]!tblActvChurn[RATEPLAN_TYPE],$BP$10,[1]!tblActvChurn[PG_TYPE],BQ$11)</f>
        <v>#REF!</v>
      </c>
      <c r="BR89" s="51" t="e">
        <f t="shared" si="37"/>
        <v>#REF!</v>
      </c>
      <c r="BS89" s="51" t="e">
        <f>SUMIFS([1]!tblActvChurn[POINTS],[1]!tblActvChurn[MONTH],DATE(YEAR($C$1),MONTH($C$1),1),[1]!tblActvChurn[KPI],$BP$84,[1]!tblActvChurn[VERTICAL],$BO$10,[1]!tblActvChurn[AM],$BO89,[1]!tblActvChurn[RATEPLAN_TYPE],$BS$10,[1]!tblActvChurn[PG_TYPE],BS$11)</f>
        <v>#REF!</v>
      </c>
      <c r="BT89" s="51" t="e">
        <f>SUMIFS([1]!tblActvChurn[POINTS],[1]!tblActvChurn[MONTH],DATE(YEAR($C$1),MONTH($C$1),1),[1]!tblActvChurn[KPI],$BP$84,[1]!tblActvChurn[VERTICAL],$BO$10,[1]!tblActvChurn[AM],$BO89,[1]!tblActvChurn[RATEPLAN_TYPE],$BS$10,[1]!tblActvChurn[PG_TYPE],BT$11)</f>
        <v>#REF!</v>
      </c>
      <c r="BU89" s="51" t="e">
        <f t="shared" si="38"/>
        <v>#REF!</v>
      </c>
      <c r="BV89" s="51" t="e">
        <f>SUMIFS([1]!tblActvChurn[POINTS],[1]!tblActvChurn[MONTH],DATE(YEAR($C$1),MONTH($C$1),1),[1]!tblActvChurn[KPI],$BP$84,[1]!tblActvChurn[VERTICAL],$BO$10,[1]!tblActvChurn[AM],$BO89,[1]!tblActvChurn[RATEPLAN_TYPE],$BV$10,[1]!tblActvChurn[PG_TYPE],BV$11)</f>
        <v>#REF!</v>
      </c>
      <c r="BW89" s="51" t="e">
        <f>SUMIFS([1]!tblActvChurn[POINTS],[1]!tblActvChurn[MONTH],DATE(YEAR($C$1),MONTH($C$1),1),[1]!tblActvChurn[KPI],$BP$84,[1]!tblActvChurn[VERTICAL],$BO$10,[1]!tblActvChurn[AM],$BO89,[1]!tblActvChurn[RATEPLAN_TYPE],$BV$10,[1]!tblActvChurn[PG_TYPE],BW$11)</f>
        <v>#REF!</v>
      </c>
      <c r="BX89" s="51" t="e">
        <f t="shared" si="39"/>
        <v>#REF!</v>
      </c>
      <c r="BY89" s="51" t="e">
        <f t="shared" si="40"/>
        <v>#REF!</v>
      </c>
      <c r="BZ89" s="51" t="e">
        <f t="shared" si="41"/>
        <v>#REF!</v>
      </c>
      <c r="CA89" s="51" t="e">
        <f t="shared" si="42"/>
        <v>#REF!</v>
      </c>
      <c r="CG89" s="40"/>
    </row>
    <row r="90" spans="8:85">
      <c r="H90" s="52"/>
      <c r="I90" s="52"/>
      <c r="J90" s="74"/>
      <c r="BO90" s="45" t="str">
        <f t="shared" si="36"/>
        <v>Ehab Hajou</v>
      </c>
      <c r="BP90" s="51" t="e">
        <f>SUMIFS([1]!tblActvChurn[POINTS],[1]!tblActvChurn[MONTH],DATE(YEAR($C$1),MONTH($C$1),1),[1]!tblActvChurn[KPI],$BP$84,[1]!tblActvChurn[VERTICAL],$BO$10,[1]!tblActvChurn[AM],$BO90,[1]!tblActvChurn[RATEPLAN_TYPE],$BP$10,[1]!tblActvChurn[PG_TYPE],BP$11)</f>
        <v>#REF!</v>
      </c>
      <c r="BQ90" s="51" t="e">
        <f>SUMIFS([1]!tblActvChurn[POINTS],[1]!tblActvChurn[MONTH],DATE(YEAR($C$1),MONTH($C$1),1),[1]!tblActvChurn[KPI],$BP$84,[1]!tblActvChurn[VERTICAL],$BO$10,[1]!tblActvChurn[AM],$BO90,[1]!tblActvChurn[RATEPLAN_TYPE],$BP$10,[1]!tblActvChurn[PG_TYPE],BQ$11)</f>
        <v>#REF!</v>
      </c>
      <c r="BR90" s="51" t="e">
        <f t="shared" si="37"/>
        <v>#REF!</v>
      </c>
      <c r="BS90" s="51" t="e">
        <f>SUMIFS([1]!tblActvChurn[POINTS],[1]!tblActvChurn[MONTH],DATE(YEAR($C$1),MONTH($C$1),1),[1]!tblActvChurn[KPI],$BP$84,[1]!tblActvChurn[VERTICAL],$BO$10,[1]!tblActvChurn[AM],$BO90,[1]!tblActvChurn[RATEPLAN_TYPE],$BS$10,[1]!tblActvChurn[PG_TYPE],BS$11)</f>
        <v>#REF!</v>
      </c>
      <c r="BT90" s="51" t="e">
        <f>SUMIFS([1]!tblActvChurn[POINTS],[1]!tblActvChurn[MONTH],DATE(YEAR($C$1),MONTH($C$1),1),[1]!tblActvChurn[KPI],$BP$84,[1]!tblActvChurn[VERTICAL],$BO$10,[1]!tblActvChurn[AM],$BO90,[1]!tblActvChurn[RATEPLAN_TYPE],$BS$10,[1]!tblActvChurn[PG_TYPE],BT$11)</f>
        <v>#REF!</v>
      </c>
      <c r="BU90" s="51" t="e">
        <f t="shared" si="38"/>
        <v>#REF!</v>
      </c>
      <c r="BV90" s="51" t="e">
        <f>SUMIFS([1]!tblActvChurn[POINTS],[1]!tblActvChurn[MONTH],DATE(YEAR($C$1),MONTH($C$1),1),[1]!tblActvChurn[KPI],$BP$84,[1]!tblActvChurn[VERTICAL],$BO$10,[1]!tblActvChurn[AM],$BO90,[1]!tblActvChurn[RATEPLAN_TYPE],$BV$10,[1]!tblActvChurn[PG_TYPE],BV$11)</f>
        <v>#REF!</v>
      </c>
      <c r="BW90" s="51" t="e">
        <f>SUMIFS([1]!tblActvChurn[POINTS],[1]!tblActvChurn[MONTH],DATE(YEAR($C$1),MONTH($C$1),1),[1]!tblActvChurn[KPI],$BP$84,[1]!tblActvChurn[VERTICAL],$BO$10,[1]!tblActvChurn[AM],$BO90,[1]!tblActvChurn[RATEPLAN_TYPE],$BV$10,[1]!tblActvChurn[PG_TYPE],BW$11)</f>
        <v>#REF!</v>
      </c>
      <c r="BX90" s="51" t="e">
        <f t="shared" si="39"/>
        <v>#REF!</v>
      </c>
      <c r="BY90" s="51" t="e">
        <f t="shared" si="40"/>
        <v>#REF!</v>
      </c>
      <c r="BZ90" s="51" t="e">
        <f t="shared" si="41"/>
        <v>#REF!</v>
      </c>
      <c r="CA90" s="51" t="e">
        <f t="shared" si="42"/>
        <v>#REF!</v>
      </c>
      <c r="CG90" s="40"/>
    </row>
    <row r="91" spans="8:85">
      <c r="BO91" s="45" t="str">
        <f t="shared" si="36"/>
        <v>Ghassan Fouany</v>
      </c>
      <c r="BP91" s="51" t="e">
        <f>SUMIFS([1]!tblActvChurn[POINTS],[1]!tblActvChurn[MONTH],DATE(YEAR($C$1),MONTH($C$1),1),[1]!tblActvChurn[KPI],$BP$84,[1]!tblActvChurn[VERTICAL],$BO$10,[1]!tblActvChurn[AM],$BO91,[1]!tblActvChurn[RATEPLAN_TYPE],$BP$10,[1]!tblActvChurn[PG_TYPE],BP$11)</f>
        <v>#REF!</v>
      </c>
      <c r="BQ91" s="51" t="e">
        <f>SUMIFS([1]!tblActvChurn[POINTS],[1]!tblActvChurn[MONTH],DATE(YEAR($C$1),MONTH($C$1),1),[1]!tblActvChurn[KPI],$BP$84,[1]!tblActvChurn[VERTICAL],$BO$10,[1]!tblActvChurn[AM],$BO91,[1]!tblActvChurn[RATEPLAN_TYPE],$BP$10,[1]!tblActvChurn[PG_TYPE],BQ$11)</f>
        <v>#REF!</v>
      </c>
      <c r="BR91" s="51" t="e">
        <f t="shared" si="37"/>
        <v>#REF!</v>
      </c>
      <c r="BS91" s="51" t="e">
        <f>SUMIFS([1]!tblActvChurn[POINTS],[1]!tblActvChurn[MONTH],DATE(YEAR($C$1),MONTH($C$1),1),[1]!tblActvChurn[KPI],$BP$84,[1]!tblActvChurn[VERTICAL],$BO$10,[1]!tblActvChurn[AM],$BO91,[1]!tblActvChurn[RATEPLAN_TYPE],$BS$10,[1]!tblActvChurn[PG_TYPE],BS$11)</f>
        <v>#REF!</v>
      </c>
      <c r="BT91" s="51" t="e">
        <f>SUMIFS([1]!tblActvChurn[POINTS],[1]!tblActvChurn[MONTH],DATE(YEAR($C$1),MONTH($C$1),1),[1]!tblActvChurn[KPI],$BP$84,[1]!tblActvChurn[VERTICAL],$BO$10,[1]!tblActvChurn[AM],$BO91,[1]!tblActvChurn[RATEPLAN_TYPE],$BS$10,[1]!tblActvChurn[PG_TYPE],BT$11)</f>
        <v>#REF!</v>
      </c>
      <c r="BU91" s="51" t="e">
        <f t="shared" si="38"/>
        <v>#REF!</v>
      </c>
      <c r="BV91" s="51" t="e">
        <f>SUMIFS([1]!tblActvChurn[POINTS],[1]!tblActvChurn[MONTH],DATE(YEAR($C$1),MONTH($C$1),1),[1]!tblActvChurn[KPI],$BP$84,[1]!tblActvChurn[VERTICAL],$BO$10,[1]!tblActvChurn[AM],$BO91,[1]!tblActvChurn[RATEPLAN_TYPE],$BV$10,[1]!tblActvChurn[PG_TYPE],BV$11)</f>
        <v>#REF!</v>
      </c>
      <c r="BW91" s="51" t="e">
        <f>SUMIFS([1]!tblActvChurn[POINTS],[1]!tblActvChurn[MONTH],DATE(YEAR($C$1),MONTH($C$1),1),[1]!tblActvChurn[KPI],$BP$84,[1]!tblActvChurn[VERTICAL],$BO$10,[1]!tblActvChurn[AM],$BO91,[1]!tblActvChurn[RATEPLAN_TYPE],$BV$10,[1]!tblActvChurn[PG_TYPE],BW$11)</f>
        <v>#REF!</v>
      </c>
      <c r="BX91" s="51" t="e">
        <f t="shared" si="39"/>
        <v>#REF!</v>
      </c>
      <c r="BY91" s="51" t="e">
        <f t="shared" si="40"/>
        <v>#REF!</v>
      </c>
      <c r="BZ91" s="51" t="e">
        <f t="shared" si="41"/>
        <v>#REF!</v>
      </c>
      <c r="CA91" s="51" t="e">
        <f t="shared" si="42"/>
        <v>#REF!</v>
      </c>
      <c r="CG91" s="40"/>
    </row>
    <row r="92" spans="8:85">
      <c r="BO92" s="45" t="str">
        <f t="shared" si="36"/>
        <v>Inayat Fazili</v>
      </c>
      <c r="BP92" s="51" t="e">
        <f>SUMIFS([1]!tblActvChurn[POINTS],[1]!tblActvChurn[MONTH],DATE(YEAR($C$1),MONTH($C$1),1),[1]!tblActvChurn[KPI],$BP$84,[1]!tblActvChurn[VERTICAL],$BO$10,[1]!tblActvChurn[AM],$BO92,[1]!tblActvChurn[RATEPLAN_TYPE],$BP$10,[1]!tblActvChurn[PG_TYPE],BP$11)</f>
        <v>#REF!</v>
      </c>
      <c r="BQ92" s="51" t="e">
        <f>SUMIFS([1]!tblActvChurn[POINTS],[1]!tblActvChurn[MONTH],DATE(YEAR($C$1),MONTH($C$1),1),[1]!tblActvChurn[KPI],$BP$84,[1]!tblActvChurn[VERTICAL],$BO$10,[1]!tblActvChurn[AM],$BO92,[1]!tblActvChurn[RATEPLAN_TYPE],$BP$10,[1]!tblActvChurn[PG_TYPE],BQ$11)</f>
        <v>#REF!</v>
      </c>
      <c r="BR92" s="51" t="e">
        <f t="shared" si="37"/>
        <v>#REF!</v>
      </c>
      <c r="BS92" s="51" t="e">
        <f>SUMIFS([1]!tblActvChurn[POINTS],[1]!tblActvChurn[MONTH],DATE(YEAR($C$1),MONTH($C$1),1),[1]!tblActvChurn[KPI],$BP$84,[1]!tblActvChurn[VERTICAL],$BO$10,[1]!tblActvChurn[AM],$BO92,[1]!tblActvChurn[RATEPLAN_TYPE],$BS$10,[1]!tblActvChurn[PG_TYPE],BS$11)</f>
        <v>#REF!</v>
      </c>
      <c r="BT92" s="51" t="e">
        <f>SUMIFS([1]!tblActvChurn[POINTS],[1]!tblActvChurn[MONTH],DATE(YEAR($C$1),MONTH($C$1),1),[1]!tblActvChurn[KPI],$BP$84,[1]!tblActvChurn[VERTICAL],$BO$10,[1]!tblActvChurn[AM],$BO92,[1]!tblActvChurn[RATEPLAN_TYPE],$BS$10,[1]!tblActvChurn[PG_TYPE],BT$11)</f>
        <v>#REF!</v>
      </c>
      <c r="BU92" s="51" t="e">
        <f t="shared" si="38"/>
        <v>#REF!</v>
      </c>
      <c r="BV92" s="51" t="e">
        <f>SUMIFS([1]!tblActvChurn[POINTS],[1]!tblActvChurn[MONTH],DATE(YEAR($C$1),MONTH($C$1),1),[1]!tblActvChurn[KPI],$BP$84,[1]!tblActvChurn[VERTICAL],$BO$10,[1]!tblActvChurn[AM],$BO92,[1]!tblActvChurn[RATEPLAN_TYPE],$BV$10,[1]!tblActvChurn[PG_TYPE],BV$11)</f>
        <v>#REF!</v>
      </c>
      <c r="BW92" s="51" t="e">
        <f>SUMIFS([1]!tblActvChurn[POINTS],[1]!tblActvChurn[MONTH],DATE(YEAR($C$1),MONTH($C$1),1),[1]!tblActvChurn[KPI],$BP$84,[1]!tblActvChurn[VERTICAL],$BO$10,[1]!tblActvChurn[AM],$BO92,[1]!tblActvChurn[RATEPLAN_TYPE],$BV$10,[1]!tblActvChurn[PG_TYPE],BW$11)</f>
        <v>#REF!</v>
      </c>
      <c r="BX92" s="51" t="e">
        <f t="shared" si="39"/>
        <v>#REF!</v>
      </c>
      <c r="BY92" s="51" t="e">
        <f t="shared" si="40"/>
        <v>#REF!</v>
      </c>
      <c r="BZ92" s="51" t="e">
        <f t="shared" si="41"/>
        <v>#REF!</v>
      </c>
      <c r="CA92" s="51" t="e">
        <f t="shared" si="42"/>
        <v>#REF!</v>
      </c>
      <c r="CG92" s="40"/>
    </row>
    <row r="93" spans="8:85">
      <c r="BO93" s="45" t="str">
        <f t="shared" si="36"/>
        <v>Mohamad Labban</v>
      </c>
      <c r="BP93" s="51" t="e">
        <f>SUMIFS([1]!tblActvChurn[POINTS],[1]!tblActvChurn[MONTH],DATE(YEAR($C$1),MONTH($C$1),1),[1]!tblActvChurn[KPI],$BP$84,[1]!tblActvChurn[VERTICAL],$BO$10,[1]!tblActvChurn[AM],$BO93,[1]!tblActvChurn[RATEPLAN_TYPE],$BP$10,[1]!tblActvChurn[PG_TYPE],BP$11)</f>
        <v>#REF!</v>
      </c>
      <c r="BQ93" s="51" t="e">
        <f>SUMIFS([1]!tblActvChurn[POINTS],[1]!tblActvChurn[MONTH],DATE(YEAR($C$1),MONTH($C$1),1),[1]!tblActvChurn[KPI],$BP$84,[1]!tblActvChurn[VERTICAL],$BO$10,[1]!tblActvChurn[AM],$BO93,[1]!tblActvChurn[RATEPLAN_TYPE],$BP$10,[1]!tblActvChurn[PG_TYPE],BQ$11)</f>
        <v>#REF!</v>
      </c>
      <c r="BR93" s="51" t="e">
        <f t="shared" si="37"/>
        <v>#REF!</v>
      </c>
      <c r="BS93" s="51" t="e">
        <f>SUMIFS([1]!tblActvChurn[POINTS],[1]!tblActvChurn[MONTH],DATE(YEAR($C$1),MONTH($C$1),1),[1]!tblActvChurn[KPI],$BP$84,[1]!tblActvChurn[VERTICAL],$BO$10,[1]!tblActvChurn[AM],$BO93,[1]!tblActvChurn[RATEPLAN_TYPE],$BS$10,[1]!tblActvChurn[PG_TYPE],BS$11)</f>
        <v>#REF!</v>
      </c>
      <c r="BT93" s="51" t="e">
        <f>SUMIFS([1]!tblActvChurn[POINTS],[1]!tblActvChurn[MONTH],DATE(YEAR($C$1),MONTH($C$1),1),[1]!tblActvChurn[KPI],$BP$84,[1]!tblActvChurn[VERTICAL],$BO$10,[1]!tblActvChurn[AM],$BO93,[1]!tblActvChurn[RATEPLAN_TYPE],$BS$10,[1]!tblActvChurn[PG_TYPE],BT$11)</f>
        <v>#REF!</v>
      </c>
      <c r="BU93" s="51" t="e">
        <f t="shared" si="38"/>
        <v>#REF!</v>
      </c>
      <c r="BV93" s="51" t="e">
        <f>SUMIFS([1]!tblActvChurn[POINTS],[1]!tblActvChurn[MONTH],DATE(YEAR($C$1),MONTH($C$1),1),[1]!tblActvChurn[KPI],$BP$84,[1]!tblActvChurn[VERTICAL],$BO$10,[1]!tblActvChurn[AM],$BO93,[1]!tblActvChurn[RATEPLAN_TYPE],$BV$10,[1]!tblActvChurn[PG_TYPE],BV$11)</f>
        <v>#REF!</v>
      </c>
      <c r="BW93" s="51" t="e">
        <f>SUMIFS([1]!tblActvChurn[POINTS],[1]!tblActvChurn[MONTH],DATE(YEAR($C$1),MONTH($C$1),1),[1]!tblActvChurn[KPI],$BP$84,[1]!tblActvChurn[VERTICAL],$BO$10,[1]!tblActvChurn[AM],$BO93,[1]!tblActvChurn[RATEPLAN_TYPE],$BV$10,[1]!tblActvChurn[PG_TYPE],BW$11)</f>
        <v>#REF!</v>
      </c>
      <c r="BX93" s="51" t="e">
        <f t="shared" si="39"/>
        <v>#REF!</v>
      </c>
      <c r="BY93" s="51" t="e">
        <f t="shared" si="40"/>
        <v>#REF!</v>
      </c>
      <c r="BZ93" s="51" t="e">
        <f t="shared" si="41"/>
        <v>#REF!</v>
      </c>
      <c r="CA93" s="51" t="e">
        <f t="shared" si="42"/>
        <v>#REF!</v>
      </c>
      <c r="CG93" s="40"/>
    </row>
    <row r="94" spans="8:85">
      <c r="BO94" s="45" t="e">
        <f t="shared" si="36"/>
        <v>#REF!</v>
      </c>
      <c r="BP94" s="51" t="e">
        <f>SUMIFS([1]!tblActvChurn[POINTS],[1]!tblActvChurn[MONTH],DATE(YEAR($C$1),MONTH($C$1),1),[1]!tblActvChurn[KPI],$BP$84,[1]!tblActvChurn[VERTICAL],$BO$10,[1]!tblActvChurn[AM],$BO94,[1]!tblActvChurn[RATEPLAN_TYPE],$BP$10,[1]!tblActvChurn[PG_TYPE],BP$11)</f>
        <v>#REF!</v>
      </c>
      <c r="BQ94" s="51" t="e">
        <f>SUMIFS([1]!tblActvChurn[POINTS],[1]!tblActvChurn[MONTH],DATE(YEAR($C$1),MONTH($C$1),1),[1]!tblActvChurn[KPI],$BP$84,[1]!tblActvChurn[VERTICAL],$BO$10,[1]!tblActvChurn[AM],$BO94,[1]!tblActvChurn[RATEPLAN_TYPE],$BP$10,[1]!tblActvChurn[PG_TYPE],BQ$11)</f>
        <v>#REF!</v>
      </c>
      <c r="BR94" s="51" t="e">
        <f t="shared" si="37"/>
        <v>#REF!</v>
      </c>
      <c r="BS94" s="51" t="e">
        <f>SUMIFS([1]!tblActvChurn[POINTS],[1]!tblActvChurn[MONTH],DATE(YEAR($C$1),MONTH($C$1),1),[1]!tblActvChurn[KPI],$BP$84,[1]!tblActvChurn[VERTICAL],$BO$10,[1]!tblActvChurn[AM],$BO94,[1]!tblActvChurn[RATEPLAN_TYPE],$BS$10,[1]!tblActvChurn[PG_TYPE],BS$11)</f>
        <v>#REF!</v>
      </c>
      <c r="BT94" s="51" t="e">
        <f>SUMIFS([1]!tblActvChurn[POINTS],[1]!tblActvChurn[MONTH],DATE(YEAR($C$1),MONTH($C$1),1),[1]!tblActvChurn[KPI],$BP$84,[1]!tblActvChurn[VERTICAL],$BO$10,[1]!tblActvChurn[AM],$BO94,[1]!tblActvChurn[RATEPLAN_TYPE],$BS$10,[1]!tblActvChurn[PG_TYPE],BT$11)</f>
        <v>#REF!</v>
      </c>
      <c r="BU94" s="51" t="e">
        <f t="shared" si="38"/>
        <v>#REF!</v>
      </c>
      <c r="BV94" s="51" t="e">
        <f>SUMIFS([1]!tblActvChurn[POINTS],[1]!tblActvChurn[MONTH],DATE(YEAR($C$1),MONTH($C$1),1),[1]!tblActvChurn[KPI],$BP$84,[1]!tblActvChurn[VERTICAL],$BO$10,[1]!tblActvChurn[AM],$BO94,[1]!tblActvChurn[RATEPLAN_TYPE],$BV$10,[1]!tblActvChurn[PG_TYPE],BV$11)</f>
        <v>#REF!</v>
      </c>
      <c r="BW94" s="51" t="e">
        <f>SUMIFS([1]!tblActvChurn[POINTS],[1]!tblActvChurn[MONTH],DATE(YEAR($C$1),MONTH($C$1),1),[1]!tblActvChurn[KPI],$BP$84,[1]!tblActvChurn[VERTICAL],$BO$10,[1]!tblActvChurn[AM],$BO94,[1]!tblActvChurn[RATEPLAN_TYPE],$BV$10,[1]!tblActvChurn[PG_TYPE],BW$11)</f>
        <v>#REF!</v>
      </c>
      <c r="BX94" s="51" t="e">
        <f t="shared" si="39"/>
        <v>#REF!</v>
      </c>
      <c r="BY94" s="51" t="e">
        <f t="shared" si="40"/>
        <v>#REF!</v>
      </c>
      <c r="BZ94" s="51" t="e">
        <f t="shared" si="41"/>
        <v>#REF!</v>
      </c>
      <c r="CA94" s="51" t="e">
        <f t="shared" si="42"/>
        <v>#REF!</v>
      </c>
      <c r="CG94" s="40"/>
    </row>
    <row r="95" spans="8:85">
      <c r="BO95" s="45" t="str">
        <f t="shared" si="36"/>
        <v>Nadeem Rasheed</v>
      </c>
      <c r="BP95" s="51" t="e">
        <f>SUMIFS([1]!tblActvChurn[POINTS],[1]!tblActvChurn[MONTH],DATE(YEAR($C$1),MONTH($C$1),1),[1]!tblActvChurn[KPI],$BP$84,[1]!tblActvChurn[VERTICAL],$BO$10,[1]!tblActvChurn[AM],$BO95,[1]!tblActvChurn[RATEPLAN_TYPE],$BP$10,[1]!tblActvChurn[PG_TYPE],BP$11)</f>
        <v>#REF!</v>
      </c>
      <c r="BQ95" s="51" t="e">
        <f>SUMIFS([1]!tblActvChurn[POINTS],[1]!tblActvChurn[MONTH],DATE(YEAR($C$1),MONTH($C$1),1),[1]!tblActvChurn[KPI],$BP$84,[1]!tblActvChurn[VERTICAL],$BO$10,[1]!tblActvChurn[AM],$BO95,[1]!tblActvChurn[RATEPLAN_TYPE],$BP$10,[1]!tblActvChurn[PG_TYPE],BQ$11)</f>
        <v>#REF!</v>
      </c>
      <c r="BR95" s="51" t="e">
        <f t="shared" si="37"/>
        <v>#REF!</v>
      </c>
      <c r="BS95" s="51" t="e">
        <f>SUMIFS([1]!tblActvChurn[POINTS],[1]!tblActvChurn[MONTH],DATE(YEAR($C$1),MONTH($C$1),1),[1]!tblActvChurn[KPI],$BP$84,[1]!tblActvChurn[VERTICAL],$BO$10,[1]!tblActvChurn[AM],$BO95,[1]!tblActvChurn[RATEPLAN_TYPE],$BS$10,[1]!tblActvChurn[PG_TYPE],BS$11)</f>
        <v>#REF!</v>
      </c>
      <c r="BT95" s="51" t="e">
        <f>SUMIFS([1]!tblActvChurn[POINTS],[1]!tblActvChurn[MONTH],DATE(YEAR($C$1),MONTH($C$1),1),[1]!tblActvChurn[KPI],$BP$84,[1]!tblActvChurn[VERTICAL],$BO$10,[1]!tblActvChurn[AM],$BO95,[1]!tblActvChurn[RATEPLAN_TYPE],$BS$10,[1]!tblActvChurn[PG_TYPE],BT$11)</f>
        <v>#REF!</v>
      </c>
      <c r="BU95" s="51" t="e">
        <f t="shared" si="38"/>
        <v>#REF!</v>
      </c>
      <c r="BV95" s="51" t="e">
        <f>SUMIFS([1]!tblActvChurn[POINTS],[1]!tblActvChurn[MONTH],DATE(YEAR($C$1),MONTH($C$1),1),[1]!tblActvChurn[KPI],$BP$84,[1]!tblActvChurn[VERTICAL],$BO$10,[1]!tblActvChurn[AM],$BO95,[1]!tblActvChurn[RATEPLAN_TYPE],$BV$10,[1]!tblActvChurn[PG_TYPE],BV$11)</f>
        <v>#REF!</v>
      </c>
      <c r="BW95" s="51" t="e">
        <f>SUMIFS([1]!tblActvChurn[POINTS],[1]!tblActvChurn[MONTH],DATE(YEAR($C$1),MONTH($C$1),1),[1]!tblActvChurn[KPI],$BP$84,[1]!tblActvChurn[VERTICAL],$BO$10,[1]!tblActvChurn[AM],$BO95,[1]!tblActvChurn[RATEPLAN_TYPE],$BV$10,[1]!tblActvChurn[PG_TYPE],BW$11)</f>
        <v>#REF!</v>
      </c>
      <c r="BX95" s="51" t="e">
        <f t="shared" si="39"/>
        <v>#REF!</v>
      </c>
      <c r="BY95" s="51" t="e">
        <f t="shared" si="40"/>
        <v>#REF!</v>
      </c>
      <c r="BZ95" s="51" t="e">
        <f t="shared" si="41"/>
        <v>#REF!</v>
      </c>
      <c r="CA95" s="51" t="e">
        <f t="shared" si="42"/>
        <v>#REF!</v>
      </c>
      <c r="CG95" s="40"/>
    </row>
    <row r="96" spans="8:85">
      <c r="BO96" s="45"/>
      <c r="BP96" s="51" t="e">
        <f>SUMIFS([1]!tblActvChurn[POINTS],[1]!tblActvChurn[MONTH],DATE(YEAR($C$1),MONTH($C$1),1),[1]!tblActvChurn[KPI],$BP$84,[1]!tblActvChurn[VERTICAL],$BO$10,[1]!tblActvChurn[AM],$BO96,[1]!tblActvChurn[RATEPLAN_TYPE],$BP$10,[1]!tblActvChurn[PG_TYPE],BP$11)</f>
        <v>#REF!</v>
      </c>
      <c r="BQ96" s="51" t="e">
        <f>SUMIFS([1]!tblActvChurn[POINTS],[1]!tblActvChurn[MONTH],DATE(YEAR($C$1),MONTH($C$1),1),[1]!tblActvChurn[KPI],$BP$84,[1]!tblActvChurn[VERTICAL],$BO$10,[1]!tblActvChurn[AM],$BO96,[1]!tblActvChurn[RATEPLAN_TYPE],$BP$10,[1]!tblActvChurn[PG_TYPE],BQ$11)</f>
        <v>#REF!</v>
      </c>
      <c r="BR96" s="51" t="e">
        <f t="shared" si="37"/>
        <v>#REF!</v>
      </c>
      <c r="BS96" s="51" t="e">
        <f>SUMIFS([1]!tblActvChurn[POINTS],[1]!tblActvChurn[MONTH],DATE(YEAR($C$1),MONTH($C$1),1),[1]!tblActvChurn[KPI],$BP$84,[1]!tblActvChurn[VERTICAL],$BO$10,[1]!tblActvChurn[AM],$BO96,[1]!tblActvChurn[RATEPLAN_TYPE],$BS$10,[1]!tblActvChurn[PG_TYPE],BS$11)</f>
        <v>#REF!</v>
      </c>
      <c r="BT96" s="51" t="e">
        <f>SUMIFS([1]!tblActvChurn[POINTS],[1]!tblActvChurn[MONTH],DATE(YEAR($C$1),MONTH($C$1),1),[1]!tblActvChurn[KPI],$BP$84,[1]!tblActvChurn[VERTICAL],$BO$10,[1]!tblActvChurn[AM],$BO96,[1]!tblActvChurn[RATEPLAN_TYPE],$BS$10,[1]!tblActvChurn[PG_TYPE],BT$11)</f>
        <v>#REF!</v>
      </c>
      <c r="BU96" s="51" t="e">
        <f t="shared" si="38"/>
        <v>#REF!</v>
      </c>
      <c r="BV96" s="51" t="e">
        <f>SUMIFS([1]!tblActvChurn[POINTS],[1]!tblActvChurn[MONTH],DATE(YEAR($C$1),MONTH($C$1),1),[1]!tblActvChurn[KPI],$BP$84,[1]!tblActvChurn[VERTICAL],$BO$10,[1]!tblActvChurn[AM],$BO96,[1]!tblActvChurn[RATEPLAN_TYPE],$BV$10,[1]!tblActvChurn[PG_TYPE],BV$11)</f>
        <v>#REF!</v>
      </c>
      <c r="BW96" s="51" t="e">
        <f>SUMIFS([1]!tblActvChurn[POINTS],[1]!tblActvChurn[MONTH],DATE(YEAR($C$1),MONTH($C$1),1),[1]!tblActvChurn[KPI],$BP$84,[1]!tblActvChurn[VERTICAL],$BO$10,[1]!tblActvChurn[AM],$BO96,[1]!tblActvChurn[RATEPLAN_TYPE],$BV$10,[1]!tblActvChurn[PG_TYPE],BW$11)</f>
        <v>#REF!</v>
      </c>
      <c r="BX96" s="51" t="e">
        <f t="shared" si="39"/>
        <v>#REF!</v>
      </c>
      <c r="BY96" s="51" t="e">
        <f t="shared" si="40"/>
        <v>#REF!</v>
      </c>
      <c r="BZ96" s="51" t="e">
        <f t="shared" si="41"/>
        <v>#REF!</v>
      </c>
      <c r="CA96" s="51" t="e">
        <f t="shared" si="42"/>
        <v>#REF!</v>
      </c>
      <c r="CG96" s="40"/>
    </row>
    <row r="97" spans="67:85">
      <c r="BO97" s="45"/>
      <c r="BP97" s="51" t="e">
        <f>SUMIFS([1]!tblActvChurn[POINTS],[1]!tblActvChurn[MONTH],DATE(YEAR($C$1),MONTH($C$1),1),[1]!tblActvChurn[KPI],$BP$84,[1]!tblActvChurn[VERTICAL],$BO$10,[1]!tblActvChurn[AM],$BO97,[1]!tblActvChurn[RATEPLAN_TYPE],$BP$10,[1]!tblActvChurn[PG_TYPE],BP$11)</f>
        <v>#REF!</v>
      </c>
      <c r="BQ97" s="51" t="e">
        <f>SUMIFS([1]!tblActvChurn[POINTS],[1]!tblActvChurn[MONTH],DATE(YEAR($C$1),MONTH($C$1),1),[1]!tblActvChurn[KPI],$BP$84,[1]!tblActvChurn[VERTICAL],$BO$10,[1]!tblActvChurn[AM],$BO97,[1]!tblActvChurn[RATEPLAN_TYPE],$BP$10,[1]!tblActvChurn[PG_TYPE],BQ$11)</f>
        <v>#REF!</v>
      </c>
      <c r="BR97" s="51" t="e">
        <f t="shared" si="37"/>
        <v>#REF!</v>
      </c>
      <c r="BS97" s="51" t="e">
        <f>SUMIFS([1]!tblActvChurn[POINTS],[1]!tblActvChurn[MONTH],DATE(YEAR($C$1),MONTH($C$1),1),[1]!tblActvChurn[KPI],$BP$84,[1]!tblActvChurn[VERTICAL],$BO$10,[1]!tblActvChurn[AM],$BO97,[1]!tblActvChurn[RATEPLAN_TYPE],$BS$10,[1]!tblActvChurn[PG_TYPE],BS$11)</f>
        <v>#REF!</v>
      </c>
      <c r="BT97" s="51" t="e">
        <f>SUMIFS([1]!tblActvChurn[POINTS],[1]!tblActvChurn[MONTH],DATE(YEAR($C$1),MONTH($C$1),1),[1]!tblActvChurn[KPI],$BP$84,[1]!tblActvChurn[VERTICAL],$BO$10,[1]!tblActvChurn[AM],$BO97,[1]!tblActvChurn[RATEPLAN_TYPE],$BS$10,[1]!tblActvChurn[PG_TYPE],BT$11)</f>
        <v>#REF!</v>
      </c>
      <c r="BU97" s="51" t="e">
        <f t="shared" si="38"/>
        <v>#REF!</v>
      </c>
      <c r="BV97" s="51" t="e">
        <f>SUMIFS([1]!tblActvChurn[POINTS],[1]!tblActvChurn[MONTH],DATE(YEAR($C$1),MONTH($C$1),1),[1]!tblActvChurn[KPI],$BP$84,[1]!tblActvChurn[VERTICAL],$BO$10,[1]!tblActvChurn[AM],$BO97,[1]!tblActvChurn[RATEPLAN_TYPE],$BV$10,[1]!tblActvChurn[PG_TYPE],BV$11)</f>
        <v>#REF!</v>
      </c>
      <c r="BW97" s="51" t="e">
        <f>SUMIFS([1]!tblActvChurn[POINTS],[1]!tblActvChurn[MONTH],DATE(YEAR($C$1),MONTH($C$1),1),[1]!tblActvChurn[KPI],$BP$84,[1]!tblActvChurn[VERTICAL],$BO$10,[1]!tblActvChurn[AM],$BO97,[1]!tblActvChurn[RATEPLAN_TYPE],$BV$10,[1]!tblActvChurn[PG_TYPE],BW$11)</f>
        <v>#REF!</v>
      </c>
      <c r="BX97" s="51" t="e">
        <f t="shared" si="39"/>
        <v>#REF!</v>
      </c>
      <c r="BY97" s="51" t="e">
        <f t="shared" si="40"/>
        <v>#REF!</v>
      </c>
      <c r="BZ97" s="51" t="e">
        <f t="shared" si="41"/>
        <v>#REF!</v>
      </c>
      <c r="CA97" s="51" t="e">
        <f t="shared" si="42"/>
        <v>#REF!</v>
      </c>
      <c r="CG97" s="40"/>
    </row>
    <row r="98" spans="67:85">
      <c r="BO98" s="82" t="s">
        <v>37</v>
      </c>
      <c r="BP98" s="83" t="e">
        <f t="shared" ref="BP98:CA98" si="43">SUM(BP87:BP94)</f>
        <v>#REF!</v>
      </c>
      <c r="BQ98" s="83" t="e">
        <f t="shared" si="43"/>
        <v>#REF!</v>
      </c>
      <c r="BR98" s="83" t="e">
        <f t="shared" si="43"/>
        <v>#REF!</v>
      </c>
      <c r="BS98" s="83" t="e">
        <f t="shared" si="43"/>
        <v>#REF!</v>
      </c>
      <c r="BT98" s="83" t="e">
        <f t="shared" si="43"/>
        <v>#REF!</v>
      </c>
      <c r="BU98" s="83" t="e">
        <f t="shared" si="43"/>
        <v>#REF!</v>
      </c>
      <c r="BV98" s="83" t="e">
        <f t="shared" si="43"/>
        <v>#REF!</v>
      </c>
      <c r="BW98" s="83" t="e">
        <f t="shared" si="43"/>
        <v>#REF!</v>
      </c>
      <c r="BX98" s="83" t="e">
        <f t="shared" si="43"/>
        <v>#REF!</v>
      </c>
      <c r="BY98" s="83" t="e">
        <f t="shared" si="43"/>
        <v>#REF!</v>
      </c>
      <c r="BZ98" s="83" t="e">
        <f t="shared" si="43"/>
        <v>#REF!</v>
      </c>
      <c r="CA98" s="83" t="e">
        <f t="shared" si="43"/>
        <v>#REF!</v>
      </c>
      <c r="CG98" s="40"/>
    </row>
    <row r="99" spans="67:85">
      <c r="CG99" s="40"/>
    </row>
    <row r="100" spans="67:85">
      <c r="CG100" s="40"/>
    </row>
    <row r="101" spans="67:85">
      <c r="CG101" s="40"/>
    </row>
    <row r="102" spans="67:85">
      <c r="CG102" s="40"/>
    </row>
    <row r="103" spans="67:85">
      <c r="CG103" s="40"/>
    </row>
    <row r="104" spans="67:85">
      <c r="CG104" s="40"/>
    </row>
    <row r="105" spans="67:85">
      <c r="CG105" s="40"/>
    </row>
    <row r="106" spans="67:85">
      <c r="CG106" s="40"/>
    </row>
    <row r="107" spans="67:85">
      <c r="CG107" s="40"/>
    </row>
    <row r="108" spans="67:85">
      <c r="CG108" s="40"/>
    </row>
    <row r="109" spans="67:85">
      <c r="CG109" s="40"/>
    </row>
    <row r="110" spans="67:85" hidden="1">
      <c r="CG110" s="40"/>
    </row>
    <row r="111" spans="67:85" hidden="1">
      <c r="CG111" s="40"/>
    </row>
    <row r="112" spans="67:85" hidden="1">
      <c r="CG112" s="40"/>
    </row>
    <row r="113" spans="1:85" hidden="1">
      <c r="CG113" s="40"/>
    </row>
    <row r="114" spans="1:85" hidden="1">
      <c r="CG114" s="40"/>
    </row>
    <row r="115" spans="1:85" hidden="1">
      <c r="CG115" s="40"/>
    </row>
    <row r="116" spans="1:85" hidden="1">
      <c r="CG116" s="40"/>
    </row>
    <row r="117" spans="1:85">
      <c r="CG117" s="40"/>
    </row>
    <row r="118" spans="1:85">
      <c r="CG118" s="40"/>
    </row>
    <row r="119" spans="1:85">
      <c r="CG119" s="40"/>
    </row>
    <row r="120" spans="1:85">
      <c r="CG120" s="40"/>
    </row>
    <row r="121" spans="1:85" ht="14.4" thickBot="1">
      <c r="CG121" s="40"/>
    </row>
    <row r="122" spans="1:85" ht="14.4" thickTop="1">
      <c r="A122" s="100" t="str">
        <f>A19</f>
        <v>KEY-B</v>
      </c>
      <c r="B122" s="57" t="s">
        <v>1</v>
      </c>
      <c r="C122" s="56"/>
      <c r="D122" s="58"/>
      <c r="E122" s="57" t="s">
        <v>2</v>
      </c>
      <c r="F122" s="56"/>
      <c r="G122" s="58"/>
      <c r="K122" s="100" t="str">
        <f>A122</f>
        <v>KEY-B</v>
      </c>
      <c r="CG122" s="40"/>
    </row>
    <row r="123" spans="1:85" ht="14.4" thickBot="1">
      <c r="A123" s="101" t="s">
        <v>46</v>
      </c>
      <c r="B123" s="102" t="s">
        <v>5</v>
      </c>
      <c r="C123" s="103" t="s">
        <v>6</v>
      </c>
      <c r="D123" s="104" t="s">
        <v>7</v>
      </c>
      <c r="E123" s="102" t="s">
        <v>5</v>
      </c>
      <c r="F123" s="103" t="s">
        <v>6</v>
      </c>
      <c r="G123" s="104" t="s">
        <v>7</v>
      </c>
      <c r="K123" s="101" t="s">
        <v>46</v>
      </c>
      <c r="CG123" s="40"/>
    </row>
    <row r="124" spans="1:85" ht="14.4" thickTop="1">
      <c r="A124" s="105">
        <f>AH52</f>
        <v>46054</v>
      </c>
      <c r="B124" s="106" t="e">
        <f>AI52+AJ52+AK52</f>
        <v>#REF!</v>
      </c>
      <c r="C124" s="97" t="e">
        <f>SUMIFS('[1]Staff Targets'!$H:$H,'[1]Staff Targets'!$A:$A,A124,'[1]Staff Targets'!$E:$E,$A$18,'[1]Staff Targets'!$F:$F,"D")</f>
        <v>#VALUE!</v>
      </c>
      <c r="D124" s="107" t="str">
        <f>IFERROR(MAX(B124/C124,0),"")</f>
        <v/>
      </c>
      <c r="E124" s="106" t="e">
        <f>AL52+AM52+AN52</f>
        <v>#REF!</v>
      </c>
      <c r="F124" s="97" t="e">
        <f>SUMIFS('[1]Staff Targets'!$I:$I,'[1]Staff Targets'!$A:$A,A124,'[1]Staff Targets'!$E:$E,$A$18,'[1]Staff Targets'!$F:$F,"D")</f>
        <v>#VALUE!</v>
      </c>
      <c r="G124" s="107" t="str">
        <f>IFERROR(MAX(E124/F124,0),"")</f>
        <v/>
      </c>
      <c r="K124" s="105" t="s">
        <v>47</v>
      </c>
      <c r="L124" s="57" t="s">
        <v>3</v>
      </c>
      <c r="M124" s="56"/>
      <c r="N124" s="58"/>
      <c r="O124" s="57" t="s">
        <v>48</v>
      </c>
      <c r="P124" s="56"/>
      <c r="Q124" s="58"/>
      <c r="CG124" s="40"/>
    </row>
    <row r="125" spans="1:85">
      <c r="A125" s="105">
        <f>AH53</f>
        <v>46082</v>
      </c>
      <c r="B125" s="106" t="e">
        <f>AI53+AJ53+AK53</f>
        <v>#REF!</v>
      </c>
      <c r="C125" s="97" t="e">
        <f>SUMIFS('[1]Staff Targets'!$H:$H,'[1]Staff Targets'!$A:$A,A125,'[1]Staff Targets'!$E:$E,$A$18,'[1]Staff Targets'!$F:$F,"D")</f>
        <v>#VALUE!</v>
      </c>
      <c r="D125" s="107" t="str">
        <f>IFERROR(MAX(B125/C125,0),"")</f>
        <v/>
      </c>
      <c r="E125" s="106" t="e">
        <f>AL53+AM53+AN53</f>
        <v>#REF!</v>
      </c>
      <c r="F125" s="97" t="e">
        <f>SUMIFS('[1]Staff Targets'!$I:$I,'[1]Staff Targets'!$A:$A,A125,'[1]Staff Targets'!$E:$E,$A$18,'[1]Staff Targets'!$F:$F,"D")</f>
        <v>#VALUE!</v>
      </c>
      <c r="G125" s="107" t="str">
        <f>IFERROR(MAX(E125/F125,0),"")</f>
        <v/>
      </c>
      <c r="K125" s="105" t="s">
        <v>49</v>
      </c>
      <c r="L125" s="102" t="s">
        <v>5</v>
      </c>
      <c r="M125" s="103" t="s">
        <v>6</v>
      </c>
      <c r="N125" s="104" t="s">
        <v>7</v>
      </c>
      <c r="O125" s="102" t="s">
        <v>5</v>
      </c>
      <c r="P125" s="103" t="s">
        <v>6</v>
      </c>
      <c r="Q125" s="104" t="s">
        <v>7</v>
      </c>
      <c r="CG125" s="40"/>
    </row>
    <row r="126" spans="1:85">
      <c r="A126" s="105">
        <f>AH54</f>
        <v>46113</v>
      </c>
      <c r="B126" s="106" t="e">
        <f>AI54+AJ54+AK54</f>
        <v>#REF!</v>
      </c>
      <c r="C126" s="97" t="e">
        <f>SUMIFS('[1]Staff Targets'!$H:$H,'[1]Staff Targets'!$A:$A,A126,'[1]Staff Targets'!$E:$E,$A$18,'[1]Staff Targets'!$F:$F,"D")</f>
        <v>#VALUE!</v>
      </c>
      <c r="D126" s="107" t="str">
        <f>IFERROR(MAX(B126/C126,0),"")</f>
        <v/>
      </c>
      <c r="E126" s="106" t="e">
        <f>AL54+AM54+AN54</f>
        <v>#REF!</v>
      </c>
      <c r="F126" s="97" t="e">
        <f>SUMIFS('[1]Staff Targets'!$I:$I,'[1]Staff Targets'!$A:$A,A126,'[1]Staff Targets'!$E:$E,$A$18,'[1]Staff Targets'!$F:$F,"D")</f>
        <v>#VALUE!</v>
      </c>
      <c r="G126" s="107" t="str">
        <f>IFERROR(MAX(E126/F126,0),"")</f>
        <v/>
      </c>
      <c r="K126" s="105" t="s">
        <v>50</v>
      </c>
      <c r="L126" s="106" t="e">
        <f>SUMIFS([1]!REV[Rev],[1]!REV[QTR],$K124,[1]!REV[VERTICAL],$A$18)</f>
        <v>#REF!</v>
      </c>
      <c r="M126" s="97" t="e">
        <f>SUMIFS([1]!DDOS_Tar[REVENUE],[1]!DDOS_Tar[QTR],$K124,[1]!DDOS_Tar[Vertical],$A$18,[1]!DDOS_Tar[Level],"D")</f>
        <v>#REF!</v>
      </c>
      <c r="N126" s="107" t="str">
        <f>IFERROR(MAX(L126/M126,0),"")</f>
        <v/>
      </c>
      <c r="O126" s="106" t="e">
        <f>SUMIFS([1]!tbl_DDOS[MRC],[1]!tbl_DDOS[month2],$A125,[1]!tbl_DDOS[VERTICAL],$A$18)</f>
        <v>#REF!</v>
      </c>
      <c r="P126" s="97" t="e">
        <f>SUMIFS([1]!DDOS_Tar[du Tech DDoS],[1]!DDOS_Tar[QTR],$K124,[1]!DDOS_Tar[Vertical],$A$18,[1]!DDOS_Tar[Level],"D")</f>
        <v>#REF!</v>
      </c>
      <c r="Q126" s="107" t="str">
        <f>IFERROR(MAX(O126/P126,0),"")</f>
        <v/>
      </c>
      <c r="CG126" s="40"/>
    </row>
    <row r="127" spans="1:85">
      <c r="A127" s="105">
        <f>AH55</f>
        <v>46143</v>
      </c>
      <c r="B127" s="106" t="e">
        <f>AI55+AJ55+AK55</f>
        <v>#REF!</v>
      </c>
      <c r="C127" s="97" t="e">
        <f>SUMIFS('[1]Staff Targets'!$H:$H,'[1]Staff Targets'!$A:$A,A127,'[1]Staff Targets'!$E:$E,$A$18,'[1]Staff Targets'!$F:$F,"D")</f>
        <v>#VALUE!</v>
      </c>
      <c r="D127" s="107" t="str">
        <f>IFERROR(MAX(B127/C127,0),"")</f>
        <v/>
      </c>
      <c r="E127" s="106" t="e">
        <f>AL55+AM55+AN55</f>
        <v>#REF!</v>
      </c>
      <c r="F127" s="97" t="e">
        <f>SUMIFS('[1]Staff Targets'!$I:$I,'[1]Staff Targets'!$A:$A,A127,'[1]Staff Targets'!$E:$E,$A$18,'[1]Staff Targets'!$F:$F,"D")</f>
        <v>#VALUE!</v>
      </c>
      <c r="G127" s="107" t="str">
        <f>IFERROR(MAX(E127/F127,0),"")</f>
        <v/>
      </c>
      <c r="K127" s="105" t="s">
        <v>51</v>
      </c>
      <c r="L127" s="106" t="e">
        <f>SUMIFS([1]!REV[Rev],[1]!REV[QTR],$K125,[1]!REV[VERTICAL],$A$18)</f>
        <v>#REF!</v>
      </c>
      <c r="M127" s="97" t="e">
        <f>SUMIFS([1]!DDOS_Tar[REVENUE],[1]!DDOS_Tar[QTR],$K125,[1]!DDOS_Tar[Vertical],$A$18,[1]!DDOS_Tar[Level],"D")</f>
        <v>#REF!</v>
      </c>
      <c r="N127" s="107" t="str">
        <f>IFERROR(MAX(L127/M127,0),"")</f>
        <v/>
      </c>
      <c r="O127" s="106" t="e">
        <f>SUMIFS([1]!tbl_DDOS[MRC],[1]!tbl_DDOS[month2],$A126,[1]!tbl_DDOS[VERTICAL],$A$18)</f>
        <v>#REF!</v>
      </c>
      <c r="P127" s="97" t="e">
        <f>SUMIFS([1]!DDOS_Tar[du Tech DDoS],[1]!DDOS_Tar[QTR],$K125,[1]!DDOS_Tar[Vertical],$A$18,[1]!DDOS_Tar[Level],"D")</f>
        <v>#REF!</v>
      </c>
      <c r="Q127" s="107" t="str">
        <f>IFERROR(MAX(O127/P127,0),"")</f>
        <v/>
      </c>
      <c r="CG127" s="40"/>
    </row>
    <row r="128" spans="1:85" ht="14.4" thickBot="1">
      <c r="A128" s="108" t="s">
        <v>52</v>
      </c>
      <c r="B128" s="109" t="e">
        <f>SUM(AI56:AK57)</f>
        <v>#REF!</v>
      </c>
      <c r="C128" s="110" t="e">
        <f>SUMIFS('[1]Staff Targets'!$H:$H,'[1]Staff Targets'!$A:$A,A128,'[1]Staff Targets'!$E:$E,$A$19,'[1]Staff Targets'!$F:$F,"D")</f>
        <v>#VALUE!</v>
      </c>
      <c r="D128" s="111" t="str">
        <f>IFERROR(MAX(B128/C128,0),"")</f>
        <v/>
      </c>
      <c r="E128" s="109" t="e">
        <f>SUM(AL56:AN57)</f>
        <v>#REF!</v>
      </c>
      <c r="F128" s="110" t="e">
        <f>SUMIFS('[1]Staff Targets'!$I:$I,'[1]Staff Targets'!$A:$A,A128,'[1]Staff Targets'!$E:$E,$A$19,'[1]Staff Targets'!$F:$F,"D")</f>
        <v>#VALUE!</v>
      </c>
      <c r="G128" s="111" t="str">
        <f>IFERROR(MAX(E128/F128,0),"")</f>
        <v/>
      </c>
      <c r="K128" s="108" t="s">
        <v>52</v>
      </c>
      <c r="L128" s="106" t="e">
        <f>SUMIFS([1]!REV[Rev],[1]!REV[QTR],$K126,[1]!REV[VERTICAL],$A$18)</f>
        <v>#REF!</v>
      </c>
      <c r="M128" s="97" t="e">
        <f>SUMIFS([1]!DDOS_Tar[REVENUE],[1]!DDOS_Tar[QTR],$K126,[1]!DDOS_Tar[Vertical],$A$18,[1]!DDOS_Tar[Level],"D")</f>
        <v>#REF!</v>
      </c>
      <c r="N128" s="107" t="str">
        <f>IFERROR(MAX(L128/M128,0),"")</f>
        <v/>
      </c>
      <c r="O128" s="106" t="e">
        <f>SUMIFS([1]!tbl_DDOS[MRC],[1]!tbl_DDOS[month2],$A127,[1]!tbl_DDOS[VERTICAL],$A$18)</f>
        <v>#REF!</v>
      </c>
      <c r="P128" s="97" t="e">
        <f>SUMIFS([1]!DDOS_Tar[du Tech DDoS],[1]!DDOS_Tar[QTR],$K126,[1]!DDOS_Tar[Vertical],$A$18,[1]!DDOS_Tar[Level],"D")</f>
        <v>#REF!</v>
      </c>
      <c r="Q128" s="107" t="str">
        <f>IFERROR(MAX(O128/P128,0),"")</f>
        <v/>
      </c>
      <c r="CG128" s="40"/>
    </row>
    <row r="129" spans="12:85" ht="14.4" thickTop="1">
      <c r="L129" s="106" t="e">
        <f>SUMIFS([1]!REV[Rev],[1]!REV[QTR],$K127,[1]!REV[VERTICAL],$A$18)</f>
        <v>#REF!</v>
      </c>
      <c r="M129" s="97" t="e">
        <f>SUMIFS([1]!DDOS_Tar[REVENUE],[1]!DDOS_Tar[QTR],$K127,[1]!DDOS_Tar[Vertical],$A$18,[1]!DDOS_Tar[Level],"D")</f>
        <v>#REF!</v>
      </c>
      <c r="N129" s="107" t="str">
        <f>IFERROR(MAX(L129/M129,0),"")</f>
        <v/>
      </c>
      <c r="O129" s="106" t="e">
        <f>SUMIFS([1]!tbl_DDOS[MRC],[1]!tbl_DDOS[month2],#REF!,[1]!tbl_DDOS[VERTICAL],$A$18)</f>
        <v>#REF!</v>
      </c>
      <c r="P129" s="97" t="e">
        <f>SUMIFS([1]!DDOS_Tar[du Tech DDoS],[1]!DDOS_Tar[QTR],$K127,[1]!DDOS_Tar[Vertical],$A$18,[1]!DDOS_Tar[Level],"D")</f>
        <v>#REF!</v>
      </c>
      <c r="Q129" s="107" t="str">
        <f>IFERROR(MAX(O129/P129,0),"")</f>
        <v/>
      </c>
      <c r="CG129" s="40"/>
    </row>
    <row r="130" spans="12:85" ht="14.4" thickBot="1">
      <c r="L130" s="109" t="e">
        <f>SUMIFS([1]!REV[Rev],[1]!REV[QTR],$K128,[1]!REV[VERTICAL],$A$18)</f>
        <v>#REF!</v>
      </c>
      <c r="M130" s="110" t="e">
        <f>SUMIFS('[1]Staff Targets'!K:$K,'[1]Staff Targets'!$A:$A,A128,'[1]Staff Targets'!$E:$E,$A$19,'[1]Staff Targets'!$F:$F,"AM")</f>
        <v>#VALUE!</v>
      </c>
      <c r="N130" s="111" t="str">
        <f>IFERROR(MAX(L130/M130,0),"")</f>
        <v/>
      </c>
      <c r="O130" s="109" t="e">
        <f>SUMIFS([1]!tbl_DDOS[MRC],[1]!tbl_DDOS[QTR],$K128,[1]!tbl_DDOS[VERTICAL],$A$122)</f>
        <v>#REF!</v>
      </c>
      <c r="P130" s="110" t="e">
        <f>SUMIFS('[1]Staff Targets'!L:$L,'[1]Staff Targets'!$A:$A,A128,'[1]Staff Targets'!$E:$E,$A$19,'[1]Staff Targets'!$F:$F,"AM")</f>
        <v>#VALUE!</v>
      </c>
      <c r="Q130" s="111" t="str">
        <f>IFERROR(MAX(O130/P130,0),"")</f>
        <v/>
      </c>
      <c r="CG130" s="40"/>
    </row>
    <row r="131" spans="12:85" ht="14.4" thickTop="1">
      <c r="CG131" s="40"/>
    </row>
    <row r="132" spans="12:85">
      <c r="CG132" s="40"/>
    </row>
    <row r="133" spans="12:85">
      <c r="CG133" s="40"/>
    </row>
    <row r="134" spans="12:85">
      <c r="CG134" s="40"/>
    </row>
    <row r="135" spans="12:85">
      <c r="CG135" s="40"/>
    </row>
    <row r="136" spans="12:85">
      <c r="CG136" s="40"/>
    </row>
    <row r="137" spans="12:85">
      <c r="CG137" s="40"/>
    </row>
    <row r="138" spans="12:85">
      <c r="CG138" s="40"/>
    </row>
    <row r="139" spans="12:85">
      <c r="CG139" s="40"/>
    </row>
    <row r="140" spans="12:85">
      <c r="CG140" s="40"/>
    </row>
    <row r="141" spans="12:85">
      <c r="CG141" s="40"/>
    </row>
    <row r="142" spans="12:85">
      <c r="CG142" s="40"/>
    </row>
    <row r="143" spans="12:85">
      <c r="CG143" s="40"/>
    </row>
    <row r="144" spans="12:85">
      <c r="CG144" s="40"/>
    </row>
    <row r="145" spans="85:85">
      <c r="CG145" s="40"/>
    </row>
    <row r="146" spans="85:85">
      <c r="CG146" s="40"/>
    </row>
    <row r="147" spans="85:85">
      <c r="CG147" s="40"/>
    </row>
    <row r="148" spans="85:85">
      <c r="CG148" s="40"/>
    </row>
    <row r="149" spans="85:85">
      <c r="CG149" s="40"/>
    </row>
    <row r="150" spans="85:85">
      <c r="CG150" s="40"/>
    </row>
    <row r="151" spans="85:85">
      <c r="CG151" s="40"/>
    </row>
    <row r="152" spans="85:85">
      <c r="CG152" s="40"/>
    </row>
    <row r="153" spans="85:85">
      <c r="CG153" s="40"/>
    </row>
    <row r="154" spans="85:85">
      <c r="CG154" s="40"/>
    </row>
    <row r="155" spans="85:85">
      <c r="CG155" s="40"/>
    </row>
    <row r="156" spans="85:85">
      <c r="CG156" s="40"/>
    </row>
    <row r="157" spans="85:85">
      <c r="CG157" s="40"/>
    </row>
    <row r="158" spans="85:85">
      <c r="CG158" s="40"/>
    </row>
    <row r="159" spans="85:85">
      <c r="CG159" s="40"/>
    </row>
    <row r="160" spans="85:85">
      <c r="CG160" s="40"/>
    </row>
    <row r="161" spans="85:85">
      <c r="CG161" s="40"/>
    </row>
    <row r="162" spans="85:85">
      <c r="CG162" s="40"/>
    </row>
    <row r="163" spans="85:85">
      <c r="CG163" s="40"/>
    </row>
    <row r="164" spans="85:85">
      <c r="CG164" s="40"/>
    </row>
    <row r="165" spans="85:85">
      <c r="CG165" s="40"/>
    </row>
    <row r="166" spans="85:85">
      <c r="CG166" s="40"/>
    </row>
    <row r="167" spans="85:85">
      <c r="CG167" s="40"/>
    </row>
    <row r="168" spans="85:85">
      <c r="CG168" s="40"/>
    </row>
    <row r="169" spans="85:85">
      <c r="CG169" s="40"/>
    </row>
    <row r="170" spans="85:85">
      <c r="CG170" s="40"/>
    </row>
    <row r="171" spans="85:85">
      <c r="CG171" s="40"/>
    </row>
    <row r="172" spans="85:85">
      <c r="CG172" s="40"/>
    </row>
    <row r="173" spans="85:85">
      <c r="CG173" s="40"/>
    </row>
    <row r="174" spans="85:85">
      <c r="CG174" s="40"/>
    </row>
    <row r="175" spans="85:85">
      <c r="CG175" s="40"/>
    </row>
    <row r="176" spans="85:85">
      <c r="CG176" s="40"/>
    </row>
    <row r="177" spans="85:85">
      <c r="CG177" s="40"/>
    </row>
    <row r="178" spans="85:85">
      <c r="CG178" s="40"/>
    </row>
    <row r="179" spans="85:85">
      <c r="CG179" s="40"/>
    </row>
    <row r="180" spans="85:85">
      <c r="CG180" s="40"/>
    </row>
    <row r="181" spans="85:85">
      <c r="CG181" s="40"/>
    </row>
    <row r="182" spans="85:85">
      <c r="CG182" s="40"/>
    </row>
    <row r="183" spans="85:85">
      <c r="CG183" s="40"/>
    </row>
    <row r="184" spans="85:85">
      <c r="CG184" s="40"/>
    </row>
    <row r="185" spans="85:85">
      <c r="CG185" s="40"/>
    </row>
    <row r="186" spans="85:85">
      <c r="CG186" s="40"/>
    </row>
    <row r="187" spans="85:85">
      <c r="CG187" s="40"/>
    </row>
    <row r="188" spans="85:85">
      <c r="CG188" s="40"/>
    </row>
    <row r="189" spans="85:85">
      <c r="CG189" s="40"/>
    </row>
    <row r="190" spans="85:85">
      <c r="CG190" s="40"/>
    </row>
    <row r="191" spans="85:85">
      <c r="CG191" s="40"/>
    </row>
    <row r="192" spans="85:85">
      <c r="CG192" s="40"/>
    </row>
    <row r="193" spans="85:85">
      <c r="CG193" s="40"/>
    </row>
    <row r="194" spans="85:85">
      <c r="CG194" s="40"/>
    </row>
    <row r="195" spans="85:85">
      <c r="CG195" s="40"/>
    </row>
    <row r="196" spans="85:85">
      <c r="CG196" s="40"/>
    </row>
    <row r="197" spans="85:85">
      <c r="CG197" s="40"/>
    </row>
    <row r="198" spans="85:85">
      <c r="CG198" s="40"/>
    </row>
    <row r="199" spans="85:85">
      <c r="CG199" s="40"/>
    </row>
    <row r="200" spans="85:85">
      <c r="CG200" s="40"/>
    </row>
    <row r="201" spans="85:85">
      <c r="CG201" s="40"/>
    </row>
    <row r="202" spans="85:85">
      <c r="CG202" s="40"/>
    </row>
    <row r="203" spans="85:85">
      <c r="CG203" s="40"/>
    </row>
    <row r="204" spans="85:85">
      <c r="CG204" s="40"/>
    </row>
    <row r="205" spans="85:85">
      <c r="CG205" s="40"/>
    </row>
    <row r="206" spans="85:85">
      <c r="CG206" s="40"/>
    </row>
    <row r="207" spans="85:85">
      <c r="CG207" s="40"/>
    </row>
    <row r="208" spans="85:85">
      <c r="CG208" s="40"/>
    </row>
    <row r="209" spans="85:85">
      <c r="CG209" s="40"/>
    </row>
    <row r="210" spans="85:85">
      <c r="CG210" s="40"/>
    </row>
    <row r="211" spans="85:85">
      <c r="CG211" s="40"/>
    </row>
    <row r="212" spans="85:85">
      <c r="CG212" s="40"/>
    </row>
    <row r="213" spans="85:85">
      <c r="CG213" s="40"/>
    </row>
    <row r="214" spans="85:85">
      <c r="CG214" s="40"/>
    </row>
    <row r="215" spans="85:85">
      <c r="CG215" s="40"/>
    </row>
    <row r="216" spans="85:85">
      <c r="CG216" s="40"/>
    </row>
    <row r="217" spans="85:85">
      <c r="CG217" s="40"/>
    </row>
    <row r="218" spans="85:85">
      <c r="CG218" s="40"/>
    </row>
    <row r="219" spans="85:85">
      <c r="CG219" s="40"/>
    </row>
    <row r="220" spans="85:85">
      <c r="CG220" s="40"/>
    </row>
    <row r="221" spans="85:85">
      <c r="CG221" s="40"/>
    </row>
    <row r="222" spans="85:85">
      <c r="CG222" s="40"/>
    </row>
    <row r="223" spans="85:85">
      <c r="CG223" s="40"/>
    </row>
    <row r="224" spans="85:85">
      <c r="CG224" s="40"/>
    </row>
    <row r="225" spans="85:85">
      <c r="CG225" s="40"/>
    </row>
    <row r="226" spans="85:85">
      <c r="CG226" s="40"/>
    </row>
    <row r="227" spans="85:85">
      <c r="CG227" s="40"/>
    </row>
    <row r="228" spans="85:85">
      <c r="CG228" s="40"/>
    </row>
    <row r="229" spans="85:85">
      <c r="CG229" s="40"/>
    </row>
    <row r="230" spans="85:85">
      <c r="CG230" s="40"/>
    </row>
    <row r="231" spans="85:85">
      <c r="CG231" s="40"/>
    </row>
    <row r="232" spans="85:85">
      <c r="CG232" s="40"/>
    </row>
    <row r="233" spans="85:85">
      <c r="CG233" s="40"/>
    </row>
    <row r="234" spans="85:85">
      <c r="CG234" s="40"/>
    </row>
    <row r="235" spans="85:85">
      <c r="CG235" s="40"/>
    </row>
    <row r="236" spans="85:85">
      <c r="CG236" s="40"/>
    </row>
    <row r="237" spans="85:85">
      <c r="CG237" s="40"/>
    </row>
    <row r="238" spans="85:85">
      <c r="CG238" s="40"/>
    </row>
    <row r="239" spans="85:85">
      <c r="CG239" s="40"/>
    </row>
    <row r="240" spans="85:85">
      <c r="CG240" s="40"/>
    </row>
    <row r="241" spans="85:85">
      <c r="CG241" s="40"/>
    </row>
    <row r="242" spans="85:85">
      <c r="CG242" s="40"/>
    </row>
    <row r="243" spans="85:85">
      <c r="CG243" s="40"/>
    </row>
    <row r="244" spans="85:85">
      <c r="CG244" s="40"/>
    </row>
    <row r="245" spans="85:85">
      <c r="CG245" s="40"/>
    </row>
    <row r="246" spans="85:85">
      <c r="CG246" s="40"/>
    </row>
    <row r="247" spans="85:85">
      <c r="CG247" s="40"/>
    </row>
    <row r="248" spans="85:85">
      <c r="CG248" s="40"/>
    </row>
    <row r="249" spans="85:85">
      <c r="CG249" s="40"/>
    </row>
    <row r="250" spans="85:85">
      <c r="CG250" s="40"/>
    </row>
    <row r="251" spans="85:85">
      <c r="CG251" s="40"/>
    </row>
    <row r="252" spans="85:85">
      <c r="CG252" s="40"/>
    </row>
    <row r="253" spans="85:85">
      <c r="CG253" s="40"/>
    </row>
    <row r="254" spans="85:85">
      <c r="CG254" s="40"/>
    </row>
    <row r="255" spans="85:85">
      <c r="CG255" s="40"/>
    </row>
    <row r="256" spans="85:85">
      <c r="CG256" s="40"/>
    </row>
    <row r="257" spans="85:85">
      <c r="CG257" s="40"/>
    </row>
    <row r="258" spans="85:85">
      <c r="CG258" s="40"/>
    </row>
    <row r="259" spans="85:85">
      <c r="CG259" s="40"/>
    </row>
    <row r="260" spans="85:85">
      <c r="CG260" s="40"/>
    </row>
    <row r="261" spans="85:85">
      <c r="CG261" s="40"/>
    </row>
    <row r="262" spans="85:85">
      <c r="CG262" s="40"/>
    </row>
    <row r="263" spans="85:85">
      <c r="CG263" s="40"/>
    </row>
    <row r="264" spans="85:85">
      <c r="CG264" s="40"/>
    </row>
    <row r="265" spans="85:85">
      <c r="CG265" s="40"/>
    </row>
    <row r="266" spans="85:85">
      <c r="CG266" s="40"/>
    </row>
    <row r="267" spans="85:85">
      <c r="CG267" s="40"/>
    </row>
    <row r="268" spans="85:85">
      <c r="CG268" s="40"/>
    </row>
    <row r="269" spans="85:85">
      <c r="CG269" s="40"/>
    </row>
    <row r="270" spans="85:85">
      <c r="CG270" s="40"/>
    </row>
    <row r="271" spans="85:85">
      <c r="CG271" s="40"/>
    </row>
    <row r="272" spans="85:85">
      <c r="CG272" s="40"/>
    </row>
    <row r="273" spans="85:85">
      <c r="CG273" s="40"/>
    </row>
    <row r="274" spans="85:85">
      <c r="CG274" s="40"/>
    </row>
    <row r="275" spans="85:85">
      <c r="CG275" s="40"/>
    </row>
    <row r="276" spans="85:85">
      <c r="CG276" s="40"/>
    </row>
    <row r="277" spans="85:85">
      <c r="CG277" s="40"/>
    </row>
    <row r="278" spans="85:85">
      <c r="CG278" s="40"/>
    </row>
    <row r="279" spans="85:85">
      <c r="CG279" s="40"/>
    </row>
    <row r="280" spans="85:85">
      <c r="CG280" s="40"/>
    </row>
    <row r="281" spans="85:85">
      <c r="CG281" s="40"/>
    </row>
    <row r="282" spans="85:85">
      <c r="CG282" s="40"/>
    </row>
    <row r="283" spans="85:85">
      <c r="CG283" s="40"/>
    </row>
  </sheetData>
  <mergeCells count="11">
    <mergeCell ref="BP46:BX46"/>
    <mergeCell ref="BO47:BO51"/>
    <mergeCell ref="BP67:BX67"/>
    <mergeCell ref="BO68:BO69"/>
    <mergeCell ref="BP84:CA84"/>
    <mergeCell ref="BP29:CA29"/>
    <mergeCell ref="B4:Z4"/>
    <mergeCell ref="BP9:CA9"/>
    <mergeCell ref="BO10:BO11"/>
    <mergeCell ref="A19:A21"/>
    <mergeCell ref="AM20:AM21"/>
  </mergeCells>
  <conditionalFormatting sqref="N126:N130 Q126:Q130">
    <cfRule type="cellIs" dxfId="3" priority="3" operator="greaterThan">
      <formula>$I$30</formula>
    </cfRule>
    <cfRule type="cellIs" dxfId="2" priority="4" operator="lessThan">
      <formula>$G$30</formula>
    </cfRule>
  </conditionalFormatting>
  <conditionalFormatting sqref="F22:F30 K22:K30 P22:P30 U22:U30 Z22:Z30 D124:D128 G124:G128">
    <cfRule type="cellIs" dxfId="1" priority="83" operator="greaterThan">
      <formula>#REF!</formula>
    </cfRule>
    <cfRule type="cellIs" dxfId="0" priority="84" operator="lessThan">
      <formula>#REF!</formula>
    </cfRule>
  </conditionalFormatting>
  <pageMargins left="0.7" right="0.7" top="0.75" bottom="0.75" header="0.3" footer="0.3"/>
  <pageSetup paperSize="9" orientation="portrait" r:id="rId1"/>
  <headerFooter>
    <oddFooter>&amp;C&amp;"Calibri"&amp;11&amp;K000000_x000D_&amp;1#&amp;"Calibri"&amp;10&amp;K0000FFInternal: Can be shared for internal communication (du)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61D2-7189-49DA-B27F-1580597FE43E}">
  <dimension ref="B3:D15"/>
  <sheetViews>
    <sheetView tabSelected="1" workbookViewId="0">
      <selection activeCell="D34" sqref="D34"/>
    </sheetView>
  </sheetViews>
  <sheetFormatPr defaultRowHeight="13.8"/>
  <cols>
    <col min="3" max="4" width="18.19921875" customWidth="1"/>
  </cols>
  <sheetData>
    <row r="3" spans="2:4">
      <c r="B3" s="113" t="s">
        <v>46</v>
      </c>
      <c r="C3" s="114" t="s">
        <v>65</v>
      </c>
      <c r="D3" s="114" t="s">
        <v>66</v>
      </c>
    </row>
    <row r="4" spans="2:4">
      <c r="B4" s="115" t="s">
        <v>53</v>
      </c>
      <c r="C4" s="116">
        <v>196609507.08054471</v>
      </c>
      <c r="D4" s="112">
        <v>220834936.89618552</v>
      </c>
    </row>
    <row r="5" spans="2:4">
      <c r="B5" s="115" t="s">
        <v>54</v>
      </c>
      <c r="C5" s="116">
        <v>203607817.02005002</v>
      </c>
      <c r="D5" s="112">
        <v>220701659.33905405</v>
      </c>
    </row>
    <row r="6" spans="2:4">
      <c r="B6" s="115" t="s">
        <v>55</v>
      </c>
      <c r="C6" s="116">
        <v>201846388.85214102</v>
      </c>
      <c r="D6" s="112">
        <v>217674602.39137793</v>
      </c>
    </row>
    <row r="7" spans="2:4">
      <c r="B7" s="115" t="s">
        <v>56</v>
      </c>
      <c r="C7" s="116">
        <v>204084281.22955149</v>
      </c>
      <c r="D7" s="112">
        <v>221249972.20706403</v>
      </c>
    </row>
    <row r="8" spans="2:4">
      <c r="B8" s="115" t="s">
        <v>57</v>
      </c>
      <c r="C8" s="116">
        <v>205696192.40797001</v>
      </c>
      <c r="D8" s="112">
        <v>226259086.75328684</v>
      </c>
    </row>
    <row r="9" spans="2:4">
      <c r="B9" s="115" t="s">
        <v>58</v>
      </c>
      <c r="C9" s="116">
        <v>207946841.06590003</v>
      </c>
      <c r="D9" s="112">
        <v>226259086.75328684</v>
      </c>
    </row>
    <row r="10" spans="2:4">
      <c r="B10" s="115" t="s">
        <v>59</v>
      </c>
      <c r="C10" s="116">
        <v>205337824.8891893</v>
      </c>
      <c r="D10" s="112">
        <v>218850158</v>
      </c>
    </row>
    <row r="11" spans="2:4">
      <c r="B11" s="115" t="s">
        <v>60</v>
      </c>
      <c r="C11" s="116">
        <v>224422729.59834498</v>
      </c>
      <c r="D11" s="116"/>
    </row>
    <row r="12" spans="2:4">
      <c r="B12" s="115" t="s">
        <v>61</v>
      </c>
      <c r="C12" s="116">
        <v>214850701.77054799</v>
      </c>
      <c r="D12" s="116"/>
    </row>
    <row r="13" spans="2:4">
      <c r="B13" s="115" t="s">
        <v>62</v>
      </c>
      <c r="C13" s="116">
        <v>204827048.48427051</v>
      </c>
      <c r="D13" s="116"/>
    </row>
    <row r="14" spans="2:4">
      <c r="B14" s="115" t="s">
        <v>63</v>
      </c>
      <c r="C14" s="116">
        <v>213044623.60151601</v>
      </c>
      <c r="D14" s="116"/>
    </row>
    <row r="15" spans="2:4">
      <c r="B15" s="115" t="s">
        <v>64</v>
      </c>
      <c r="C15" s="116">
        <v>222984992.6186175</v>
      </c>
      <c r="D15" s="116"/>
    </row>
  </sheetData>
  <pageMargins left="0.7" right="0.7" top="0.75" bottom="0.75" header="0.3" footer="0.3"/>
  <pageSetup orientation="portrait" r:id="rId1"/>
  <headerFooter>
    <oddFooter>&amp;C&amp;1#&amp;"Calibri"&amp;10&amp;K0000FFInternal: Can be shared for internal communication (du)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BEBE-2CE5-4665-AD77-3559F4D3B8E3}">
  <dimension ref="B2:E14"/>
  <sheetViews>
    <sheetView topLeftCell="B1" workbookViewId="0">
      <selection activeCell="C12" sqref="C12"/>
    </sheetView>
  </sheetViews>
  <sheetFormatPr defaultRowHeight="13.8"/>
  <cols>
    <col min="3" max="3" width="18.796875" customWidth="1"/>
  </cols>
  <sheetData>
    <row r="2" spans="2:5">
      <c r="B2" s="113" t="s">
        <v>46</v>
      </c>
      <c r="C2" s="114" t="s">
        <v>67</v>
      </c>
      <c r="D2" t="s">
        <v>68</v>
      </c>
      <c r="E2" t="s">
        <v>69</v>
      </c>
    </row>
    <row r="3" spans="2:5">
      <c r="B3" s="117">
        <v>46023</v>
      </c>
      <c r="C3" s="118">
        <v>19590</v>
      </c>
    </row>
    <row r="4" spans="2:5">
      <c r="B4" s="117">
        <v>46054</v>
      </c>
      <c r="C4" s="118">
        <v>11871.424999999999</v>
      </c>
    </row>
    <row r="5" spans="2:5">
      <c r="B5" s="117">
        <v>46082</v>
      </c>
      <c r="C5" s="118">
        <v>-2316.5</v>
      </c>
    </row>
    <row r="6" spans="2:5">
      <c r="B6" s="117">
        <v>46113</v>
      </c>
      <c r="C6" s="118">
        <v>12016</v>
      </c>
    </row>
    <row r="7" spans="2:5">
      <c r="B7" s="117">
        <v>46143</v>
      </c>
      <c r="C7" s="118">
        <v>5777</v>
      </c>
    </row>
    <row r="8" spans="2:5">
      <c r="B8" s="117">
        <v>46174</v>
      </c>
      <c r="C8" s="118">
        <v>19911</v>
      </c>
    </row>
    <row r="9" spans="2:5">
      <c r="B9" s="117">
        <v>46204</v>
      </c>
      <c r="C9" s="118">
        <v>16125</v>
      </c>
    </row>
    <row r="10" spans="2:5">
      <c r="B10" s="117">
        <v>46235</v>
      </c>
      <c r="C10" s="118">
        <v>19498</v>
      </c>
      <c r="D10" s="118">
        <v>19498</v>
      </c>
      <c r="E10" s="118">
        <v>19498</v>
      </c>
    </row>
    <row r="11" spans="2:5">
      <c r="B11" s="117">
        <v>46266</v>
      </c>
      <c r="C11" s="116"/>
      <c r="D11" s="118">
        <f>48817-(C10+C9)</f>
        <v>13194</v>
      </c>
      <c r="E11" s="118">
        <f>57274-(C9+E10)</f>
        <v>21651</v>
      </c>
    </row>
    <row r="12" spans="2:5">
      <c r="B12" s="117">
        <v>46296</v>
      </c>
      <c r="C12" s="116"/>
    </row>
    <row r="13" spans="2:5">
      <c r="B13" s="117">
        <v>46327</v>
      </c>
      <c r="C13" s="116"/>
    </row>
    <row r="14" spans="2:5">
      <c r="B14" s="117">
        <v>46357</v>
      </c>
      <c r="C14" s="116"/>
    </row>
  </sheetData>
  <pageMargins left="0.7" right="0.7" top="0.75" bottom="0.75" header="0.3" footer="0.3"/>
  <pageSetup orientation="portrait" r:id="rId1"/>
  <headerFooter>
    <oddFooter>&amp;C&amp;1#&amp;"Calibri"&amp;10&amp;K0000FFInternal: Can be shared for internal communication (du)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30C8A-E482-4E5F-98AF-C5F024A54612}">
  <dimension ref="A2:E14"/>
  <sheetViews>
    <sheetView workbookViewId="0">
      <selection activeCell="D20" sqref="D20"/>
    </sheetView>
  </sheetViews>
  <sheetFormatPr defaultRowHeight="13.8"/>
  <cols>
    <col min="2" max="3" width="10.296875" bestFit="1" customWidth="1"/>
    <col min="4" max="4" width="18.69921875" bestFit="1" customWidth="1"/>
    <col min="5" max="5" width="15.19921875" bestFit="1" customWidth="1"/>
  </cols>
  <sheetData>
    <row r="2" spans="1:5" ht="27.6">
      <c r="A2" s="113" t="s">
        <v>46</v>
      </c>
      <c r="B2" s="114" t="s">
        <v>71</v>
      </c>
      <c r="C2" s="114" t="s">
        <v>70</v>
      </c>
      <c r="D2" t="s">
        <v>68</v>
      </c>
      <c r="E2" t="s">
        <v>69</v>
      </c>
    </row>
    <row r="3" spans="1:5">
      <c r="A3" s="120" t="s">
        <v>53</v>
      </c>
      <c r="B3" s="119">
        <v>2509391.3000000003</v>
      </c>
      <c r="C3" s="119">
        <v>2700518.3</v>
      </c>
    </row>
    <row r="4" spans="1:5">
      <c r="A4" s="120" t="s">
        <v>54</v>
      </c>
      <c r="B4" s="119">
        <v>1449303.52</v>
      </c>
      <c r="C4" s="1">
        <v>3065595.4800000004</v>
      </c>
    </row>
    <row r="5" spans="1:5">
      <c r="A5" s="120" t="s">
        <v>55</v>
      </c>
      <c r="B5" s="119">
        <v>939586.14</v>
      </c>
      <c r="C5" s="1">
        <v>820152.9600000002</v>
      </c>
    </row>
    <row r="6" spans="1:5">
      <c r="A6" s="120" t="s">
        <v>56</v>
      </c>
      <c r="B6" s="119">
        <v>1304654.1800000002</v>
      </c>
      <c r="C6" s="119">
        <v>2363395.5000000005</v>
      </c>
    </row>
    <row r="7" spans="1:5">
      <c r="A7" s="120" t="s">
        <v>57</v>
      </c>
      <c r="B7" s="119">
        <v>1198172.4799999997</v>
      </c>
      <c r="C7" s="119">
        <v>3263065.84</v>
      </c>
    </row>
    <row r="8" spans="1:5">
      <c r="A8" s="120" t="s">
        <v>58</v>
      </c>
      <c r="B8" s="119">
        <v>1612796.7000000002</v>
      </c>
      <c r="C8" s="1">
        <v>1669362.2999999998</v>
      </c>
    </row>
    <row r="9" spans="1:5">
      <c r="A9" s="120" t="s">
        <v>59</v>
      </c>
      <c r="B9" s="119">
        <v>1803214.7000000002</v>
      </c>
      <c r="C9" s="119">
        <v>2318321.2200000002</v>
      </c>
    </row>
    <row r="10" spans="1:5">
      <c r="A10" s="120" t="s">
        <v>60</v>
      </c>
      <c r="B10" s="119">
        <v>1876459.34</v>
      </c>
      <c r="C10" s="1">
        <v>3171282.0600000005</v>
      </c>
      <c r="D10" s="1">
        <v>3171282.0600000005</v>
      </c>
      <c r="E10" s="1">
        <v>3171282.0600000005</v>
      </c>
    </row>
    <row r="11" spans="1:5">
      <c r="A11" s="120" t="s">
        <v>61</v>
      </c>
      <c r="B11" s="119">
        <v>1001034.2399999999</v>
      </c>
      <c r="C11" s="116"/>
      <c r="D11" s="118">
        <f>6100000-(C9+C10)</f>
        <v>610396.71999999881</v>
      </c>
      <c r="E11" s="118">
        <f>6810000-(C9+C10)</f>
        <v>1320396.7199999988</v>
      </c>
    </row>
    <row r="12" spans="1:5">
      <c r="A12" s="120" t="s">
        <v>62</v>
      </c>
      <c r="B12" s="119">
        <v>2083196.8</v>
      </c>
      <c r="C12" s="116"/>
    </row>
    <row r="13" spans="1:5">
      <c r="A13" s="120" t="s">
        <v>63</v>
      </c>
      <c r="B13" s="119">
        <v>2816819.08</v>
      </c>
      <c r="C13" s="116"/>
    </row>
    <row r="14" spans="1:5">
      <c r="A14" s="120" t="s">
        <v>64</v>
      </c>
      <c r="B14" s="119">
        <v>2119960.0200000005</v>
      </c>
      <c r="C14" s="116"/>
    </row>
  </sheetData>
  <pageMargins left="0.7" right="0.7" top="0.75" bottom="0.75" header="0.3" footer="0.3"/>
  <pageSetup orientation="portrait" r:id="rId1"/>
  <headerFooter>
    <oddFooter>&amp;C&amp;1#&amp;"Calibri"&amp;10&amp;K0000FFInternal: Can be shared for internal communication (du)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KEY-B</vt:lpstr>
      <vt:lpstr>Rev Rec 2026 vs 2025 Trend</vt:lpstr>
      <vt:lpstr>GLK Net Add Lines Trend</vt:lpstr>
      <vt:lpstr>GLK Fixed Net MRC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Obaid Javaid</dc:creator>
  <cp:lastModifiedBy>Tehleel Lone</cp:lastModifiedBy>
  <dcterms:created xsi:type="dcterms:W3CDTF">2026-07-23T13:44:49Z</dcterms:created>
  <dcterms:modified xsi:type="dcterms:W3CDTF">2026-09-03T11:01:40Z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631fc3-9a0c-431f-9a31-72e4a001a3af_Enabled">
    <vt:lpwstr>true</vt:lpwstr>
  </property>
  <property fmtid="{D5CDD505-2E9C-101B-9397-08002B2CF9AE}" pid="3" name="MSIP_Label_70631fc3-9a0c-431f-9a31-72e4a001a3af_SetDate">
    <vt:lpwstr>2026-09-03T09:47:33Z</vt:lpwstr>
  </property>
  <property fmtid="{D5CDD505-2E9C-101B-9397-08002B2CF9AE}" pid="4" name="MSIP_Label_70631fc3-9a0c-431f-9a31-72e4a001a3af_Method">
    <vt:lpwstr>Standard</vt:lpwstr>
  </property>
  <property fmtid="{D5CDD505-2E9C-101B-9397-08002B2CF9AE}" pid="5" name="MSIP_Label_70631fc3-9a0c-431f-9a31-72e4a001a3af_Name">
    <vt:lpwstr>Internal</vt:lpwstr>
  </property>
  <property fmtid="{D5CDD505-2E9C-101B-9397-08002B2CF9AE}" pid="6" name="MSIP_Label_70631fc3-9a0c-431f-9a31-72e4a001a3af_SiteId">
    <vt:lpwstr>634c271c-fd02-4c16-9c9f-dd50af6f016c</vt:lpwstr>
  </property>
  <property fmtid="{D5CDD505-2E9C-101B-9397-08002B2CF9AE}" pid="7" name="MSIP_Label_70631fc3-9a0c-431f-9a31-72e4a001a3af_ActionId">
    <vt:lpwstr>b41b8fd2-8527-41bc-a068-7e5ed03278dd</vt:lpwstr>
  </property>
  <property fmtid="{D5CDD505-2E9C-101B-9397-08002B2CF9AE}" pid="8" name="MSIP_Label_70631fc3-9a0c-431f-9a31-72e4a001a3af_ContentBits">
    <vt:lpwstr>2</vt:lpwstr>
  </property>
</Properties>
</file>